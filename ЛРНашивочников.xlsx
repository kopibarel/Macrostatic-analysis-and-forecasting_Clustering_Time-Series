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810" windowHeight="1410" firstSheet="1" activeTab="2"/>
  </bookViews>
  <sheets>
    <sheet name="Исходные данные" sheetId="1" r:id="rId1"/>
    <sheet name="Все методы" sheetId="2" r:id="rId2"/>
    <sheet name="Функционал качества" sheetId="3" r:id="rId3"/>
    <sheet name="Графики средних" sheetId="4" r:id="rId4"/>
    <sheet name="География" sheetId="5" r:id="rId5"/>
    <sheet name="Критерий" sheetId="6" r:id="rId6"/>
    <sheet name="Собственные числа" sheetId="7" r:id="rId7"/>
    <sheet name="Визуализация" sheetId="8" r:id="rId8"/>
    <sheet name="График средних" sheetId="10" r:id="rId9"/>
    <sheet name="Визуализация2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<sst xmlns="http://schemas.openxmlformats.org/spreadsheetml/2006/main" count="2470" uniqueCount="222">
  <si>
    <t>Регион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</si>
  <si>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</si>
  <si>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</si>
  <si>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</si>
  <si>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</si>
  <si>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</si>
  <si>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</si>
  <si>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</si>
  <si>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</si>
  <si>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</si>
  <si>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Алтайский край</t>
  </si>
  <si>
    <t>Амурская область</t>
  </si>
  <si>
    <t>Архангельская область без автономного округа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</si>
  <si>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</si>
  <si>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</si>
  <si>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</si>
  <si>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</si>
  <si>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</si>
  <si>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</si>
  <si>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</si>
  <si>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</si>
  <si>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</si>
  <si>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</si>
  <si>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</si>
  <si>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</si>
  <si>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</si>
  <si>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</si>
  <si>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</si>
  <si>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</si>
  <si>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Кемеровская область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</si>
  <si>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</si>
  <si>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</si>
  <si>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</si>
  <si>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</si>
  <si>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</si>
  <si>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</si>
  <si>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</si>
  <si>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</si>
  <si>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</si>
  <si>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Москва</t>
  </si>
  <si>
    <t>Московская область</t>
  </si>
  <si>
    <t>Мурманская область</t>
  </si>
  <si>
    <t>Ненецкий автономный округ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</si>
  <si>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</si>
  <si>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</si>
  <si>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</si>
  <si>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</si>
  <si>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</si>
  <si>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</si>
  <si>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</si>
  <si>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</si>
  <si>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</si>
  <si>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</si>
  <si>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Адыгея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</si>
  <si>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</si>
  <si>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</si>
  <si>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</si>
  <si>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</si>
  <si>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</si>
  <si>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</si>
  <si>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</si>
  <si>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</si>
  <si>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Крым</t>
  </si>
  <si>
    <t>Республика Марий Эл</t>
  </si>
  <si>
    <t>Республика Мордовия</t>
  </si>
  <si>
    <t>Республика Саха (Якутия)</t>
  </si>
  <si>
    <t>Республика Северная Осетия – Алания</t>
  </si>
  <si>
    <t>Республика Татарстан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</si>
  <si>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</si>
  <si>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</si>
  <si>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</si>
  <si>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</si>
  <si>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</si>
  <si>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Санкт-Петербург</t>
  </si>
  <si>
    <t>Саратовская область</t>
  </si>
  <si>
    <t>Сахалинская область</t>
  </si>
  <si>
    <t>Свердловская область</t>
  </si>
  <si>
    <t>Севастополь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</si>
  <si>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</si>
  <si>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</si>
  <si>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</si>
  <si>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</si>
  <si>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</si>
  <si>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</si>
  <si>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 без автономных округов</t>
  </si>
  <si>
    <t>Удмуртская Республика</t>
  </si>
  <si>
    <t>Ульяновская область</t>
  </si>
  <si>
    <t>Хабаровский край</t>
  </si>
  <si>
    <t>Ханты-Мансийский автономный округ – Югра</t>
  </si>
  <si>
    <t>Челябинская область</t>
  </si>
  <si>
    <t>Чеченская Республика</t>
  </si>
  <si>
    <t>Чувашская Республика</t>
  </si>
  <si>
    <t>Чукотский автономный округ</t>
  </si>
  <si>
    <t>Ямало-Ненецкий автономный округ</t>
  </si>
  <si>
    <t>Ярославская область</t>
  </si>
  <si>
    <t>Полная связь</t>
  </si>
  <si>
    <t xml:space="preserve">Невзв. Попарное ср. </t>
  </si>
  <si>
    <t>Метод Уорда</t>
  </si>
  <si>
    <t>Метод К-средних</t>
  </si>
  <si>
    <t>раст^2</t>
  </si>
  <si>
    <t>Обуч.выборка</t>
  </si>
  <si>
    <t>дискрим</t>
  </si>
  <si>
    <t>1</t>
  </si>
  <si>
    <t>2</t>
  </si>
  <si>
    <t>3</t>
  </si>
  <si>
    <t>4</t>
  </si>
  <si>
    <t>5</t>
  </si>
  <si>
    <t>6</t>
  </si>
  <si>
    <t>7</t>
  </si>
  <si>
    <t>классификация</t>
  </si>
  <si>
    <t>махаланобис</t>
  </si>
  <si>
    <t>12</t>
  </si>
  <si>
    <t>22</t>
  </si>
  <si>
    <t>32</t>
  </si>
  <si>
    <t>42</t>
  </si>
  <si>
    <t>52</t>
  </si>
  <si>
    <t>62</t>
  </si>
  <si>
    <t>72</t>
  </si>
  <si>
    <t>классиф по раст махаланобиса</t>
  </si>
  <si>
    <t>апостериорная</t>
  </si>
  <si>
    <t>13</t>
  </si>
  <si>
    <t>23</t>
  </si>
  <si>
    <t>33</t>
  </si>
  <si>
    <t>43</t>
  </si>
  <si>
    <t>53</t>
  </si>
  <si>
    <t>63</t>
  </si>
  <si>
    <t>73</t>
  </si>
  <si>
    <t>классиф по апостер вер</t>
  </si>
  <si>
    <t>дискриминантный</t>
  </si>
  <si>
    <t>14</t>
  </si>
  <si>
    <t>24</t>
  </si>
  <si>
    <t>34</t>
  </si>
  <si>
    <t>44</t>
  </si>
  <si>
    <t>54</t>
  </si>
  <si>
    <t>64</t>
  </si>
  <si>
    <t>74</t>
  </si>
  <si>
    <t>классификация2</t>
  </si>
  <si>
    <t>махалонобис</t>
  </si>
  <si>
    <t>15</t>
  </si>
  <si>
    <t>25</t>
  </si>
  <si>
    <t>35</t>
  </si>
  <si>
    <t>45</t>
  </si>
  <si>
    <t>55</t>
  </si>
  <si>
    <t>65</t>
  </si>
  <si>
    <t>75</t>
  </si>
  <si>
    <t>классиф по раст махаланобиса2</t>
  </si>
  <si>
    <t>апостериорная вероятность</t>
  </si>
  <si>
    <t>16</t>
  </si>
  <si>
    <t>26</t>
  </si>
  <si>
    <t>36</t>
  </si>
  <si>
    <t>46</t>
  </si>
  <si>
    <t>56</t>
  </si>
  <si>
    <t>66</t>
  </si>
  <si>
    <t>76</t>
  </si>
  <si>
    <t>классиф по апостер вер2</t>
  </si>
  <si>
    <t>точность</t>
  </si>
  <si>
    <t>точность2</t>
  </si>
  <si>
    <t>соответствие</t>
  </si>
  <si>
    <t>соответствие2</t>
  </si>
  <si>
    <t>новый Уорд</t>
  </si>
  <si>
    <t>новый К-средних</t>
  </si>
  <si>
    <t>---</t>
  </si>
  <si>
    <t>G_4:4</t>
  </si>
  <si>
    <t>G_2:2</t>
  </si>
  <si>
    <t>G_1:1</t>
  </si>
  <si>
    <t>G_6:6</t>
  </si>
  <si>
    <t>G_3:3</t>
  </si>
  <si>
    <t>G_5:5</t>
  </si>
  <si>
    <t>G_7:7</t>
  </si>
  <si>
    <t>Дискриминантный</t>
  </si>
  <si>
    <t>Пошаговое вкл</t>
  </si>
  <si>
    <t>Пошаговое искл</t>
  </si>
  <si>
    <t>сумма</t>
  </si>
  <si>
    <t>питон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</si>
  <si>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</si>
  <si>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</si>
  <si>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</si>
  <si>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</si>
  <si>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</si>
  <si>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</si>
  <si>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</si>
  <si>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</si>
  <si>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</si>
  <si>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кластер1</t>
  </si>
  <si>
    <t>кластер2</t>
  </si>
  <si>
    <t>кластер3</t>
  </si>
  <si>
    <t>кластер4</t>
  </si>
  <si>
    <t>кластер5</t>
  </si>
  <si>
    <t>кластер6</t>
  </si>
  <si>
    <t>кластер7</t>
  </si>
  <si>
    <t>Eigenvalue</t>
  </si>
  <si>
    <t>Hi2набл</t>
  </si>
  <si>
    <t>Hi2кри1</t>
  </si>
  <si>
    <t>Hi2кри2</t>
  </si>
  <si>
    <t>Alpha</t>
  </si>
  <si>
    <t>k</t>
  </si>
  <si>
    <t>Предел1</t>
  </si>
  <si>
    <t>Собственное число</t>
  </si>
  <si>
    <t>Предел2</t>
  </si>
  <si>
    <t>&lt;</t>
  </si>
  <si>
    <t>Регионы</t>
  </si>
  <si>
    <t>z1</t>
  </si>
  <si>
    <t>z2</t>
  </si>
  <si>
    <t>метод Уода</t>
  </si>
  <si>
    <t>метод К-средних</t>
  </si>
  <si>
    <t>старый Уорд</t>
  </si>
  <si>
    <t>Старый К-средних</t>
  </si>
  <si>
    <t>Уорд</t>
  </si>
  <si>
    <t>К-средниз</t>
  </si>
  <si>
    <t>старый К-средних</t>
  </si>
  <si>
    <t>factor1</t>
  </si>
  <si>
    <t>factor2</t>
  </si>
  <si>
    <t>К-средних</t>
  </si>
  <si>
    <t>f1</t>
  </si>
  <si>
    <t>f2</t>
  </si>
  <si>
    <t>f3</t>
  </si>
  <si>
    <t>f12</t>
  </si>
  <si>
    <t>f22</t>
  </si>
  <si>
    <t>Уорд2</t>
  </si>
  <si>
    <t>К-средних2</t>
  </si>
  <si>
    <t>Уорд старый</t>
  </si>
  <si>
    <t>К-средних старый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</si>
</sst>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0_ "/>
  </numFmts>
  <fonts count="35">
    <font>
      <sz val="11"/>
      <color theme="1"/>
      <name val="Calibri"/>
      <charset val="134"/>
      <scheme val="minor"/>
    </font>
    <font>
      <sz val="11"/>
      <color indexed="8"/>
      <name val="Calibri"/>
      <charset val="204"/>
    </font>
    <font>
      <sz val="10"/>
      <color rgb="FF000000"/>
      <name val="Arial"/>
      <charset val="134"/>
    </font>
    <font>
      <sz val="11"/>
      <color theme="4" tint="-0.499984740745262"/>
      <name val="Calibri"/>
      <charset val="204"/>
      <scheme val="minor"/>
    </font>
    <font>
      <sz val="11"/>
      <color theme="1"/>
      <name val="Calibri"/>
      <charset val="204"/>
      <scheme val="minor"/>
    </font>
    <font>
      <b/>
      <sz val="10"/>
      <color rgb="FF000000"/>
      <name val="Arial"/>
      <charset val="204"/>
    </font>
    <font>
      <sz val="10"/>
      <color rgb="FF000000"/>
      <name val="Arial"/>
      <charset val="204"/>
    </font>
    <font>
      <sz val="10"/>
      <color indexed="8"/>
      <name val="Arial"/>
      <charset val="204"/>
    </font>
    <font>
      <b/>
      <sz val="11"/>
      <color theme="1"/>
      <name val="Calibri"/>
      <charset val="204"/>
      <scheme val="minor"/>
    </font>
    <font>
      <sz val="11"/>
      <color theme="1"/>
      <name val="Calibri"/>
      <charset val="204"/>
    </font>
    <font>
      <b/>
      <sz val="11"/>
      <color theme="1"/>
      <name val="Calibri"/>
      <charset val="134"/>
      <scheme val="minor"/>
    </font>
    <font>
      <b/>
      <sz val="11"/>
      <color theme="4" tint="-0.249977111117893"/>
      <name val="Calibri"/>
      <charset val="204"/>
      <scheme val="minor"/>
    </font>
    <font>
      <sz val="11"/>
      <color theme="4" tint="-0.499984740745262"/>
      <name val="Calibri"/>
      <charset val="204"/>
    </font>
    <font>
      <sz val="11"/>
      <color rgb="FF000000"/>
      <name val="Arial"/>
      <charset val="204"/>
    </font>
    <font>
      <sz val="11"/>
      <color rgb="FF000000"/>
      <name val="Calibri"/>
      <charset val="20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204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768059327982"/>
        <bgColor theme="4" tint="0.79976805932798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76805932798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medium">
        <color theme="4"/>
      </top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/>
      <right/>
      <top style="double">
        <color theme="4"/>
      </top>
      <bottom style="thin">
        <color theme="4"/>
      </bottom>
      <diagonal/>
    </border>
    <border>
      <left/>
      <right/>
      <top style="thin">
        <color theme="4" tint="0.399945066682943"/>
      </top>
      <bottom style="thin">
        <color theme="4" tint="0.399945066682943"/>
      </bottom>
      <diagonal/>
    </border>
    <border>
      <left/>
      <right style="thin">
        <color theme="4"/>
      </right>
      <top style="thin">
        <color theme="4" tint="0.399945066682943"/>
      </top>
      <bottom style="thin">
        <color theme="4" tint="0.399945066682943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16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8" borderId="16" applyNumberFormat="0" applyAlignment="0" applyProtection="0">
      <alignment vertical="center"/>
    </xf>
    <xf numFmtId="0" fontId="26" fillId="9" borderId="18" applyNumberFormat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4" fillId="0" borderId="0"/>
    <xf numFmtId="0" fontId="34" fillId="0" borderId="0"/>
  </cellStyleXfs>
  <cellXfs count="51">
    <xf numFmtId="0" fontId="0" fillId="0" borderId="0" xfId="0">
      <alignment vertical="center"/>
    </xf>
    <xf numFmtId="0" fontId="1" fillId="0" borderId="1" xfId="0" applyNumberFormat="1" applyFont="1" applyFill="1" applyBorder="1" applyAlignment="1" applyProtection="1"/>
    <xf numFmtId="180" fontId="1" fillId="0" borderId="0" xfId="0" applyNumberFormat="1" applyFont="1" applyFill="1" applyBorder="1" applyAlignment="1" applyProtection="1"/>
    <xf numFmtId="0" fontId="2" fillId="2" borderId="0" xfId="0" applyFont="1" applyFill="1" applyAlignment="1">
      <alignment horizontal="right" vertical="center"/>
    </xf>
    <xf numFmtId="0" fontId="3" fillId="0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3" fillId="3" borderId="0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right" vertical="center"/>
    </xf>
    <xf numFmtId="0" fontId="4" fillId="0" borderId="0" xfId="0" applyFont="1">
      <alignment vertical="center"/>
    </xf>
    <xf numFmtId="0" fontId="5" fillId="2" borderId="7" xfId="0" applyFont="1" applyFill="1" applyBorder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1" fontId="7" fillId="0" borderId="0" xfId="50" applyNumberFormat="1" applyFont="1" applyAlignment="1">
      <alignment horizontal="right" vertical="center"/>
    </xf>
    <xf numFmtId="180" fontId="1" fillId="0" borderId="0" xfId="0" applyNumberFormat="1" applyFont="1" applyFill="1" applyAlignment="1" applyProtection="1"/>
    <xf numFmtId="0" fontId="6" fillId="2" borderId="8" xfId="0" applyFont="1" applyFill="1" applyBorder="1" applyAlignment="1">
      <alignment horizontal="right" vertical="center"/>
    </xf>
    <xf numFmtId="0" fontId="6" fillId="2" borderId="9" xfId="0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0" fillId="4" borderId="0" xfId="0" applyFill="1">
      <alignment vertical="center"/>
    </xf>
    <xf numFmtId="0" fontId="1" fillId="0" borderId="0" xfId="0" applyNumberFormat="1" applyFont="1" applyFill="1" applyBorder="1" applyAlignment="1" applyProtection="1"/>
    <xf numFmtId="0" fontId="8" fillId="0" borderId="10" xfId="0" applyFont="1" applyBorder="1">
      <alignment vertical="center"/>
    </xf>
    <xf numFmtId="0" fontId="8" fillId="0" borderId="0" xfId="0" applyFont="1" applyBorder="1">
      <alignment vertical="center"/>
    </xf>
    <xf numFmtId="0" fontId="8" fillId="0" borderId="0" xfId="0" applyFont="1">
      <alignment vertical="center"/>
    </xf>
    <xf numFmtId="0" fontId="9" fillId="5" borderId="0" xfId="0" applyFont="1" applyFill="1" applyBorder="1">
      <alignment vertical="center"/>
    </xf>
    <xf numFmtId="0" fontId="0" fillId="0" borderId="0" xfId="0" applyAlignment="1">
      <alignment horizontal="right" vertical="center"/>
    </xf>
    <xf numFmtId="0" fontId="0" fillId="0" borderId="0" xfId="0" applyNumberFormat="1">
      <alignment vertical="center"/>
    </xf>
    <xf numFmtId="0" fontId="10" fillId="0" borderId="0" xfId="0" applyFont="1">
      <alignment vertical="center"/>
    </xf>
    <xf numFmtId="0" fontId="11" fillId="0" borderId="11" xfId="0" applyNumberFormat="1" applyFont="1" applyFill="1" applyBorder="1" applyAlignment="1" applyProtection="1"/>
    <xf numFmtId="0" fontId="11" fillId="0" borderId="11" xfId="0" applyFont="1" applyFill="1" applyBorder="1" applyAlignment="1">
      <alignment horizontal="center" vertical="center"/>
    </xf>
    <xf numFmtId="0" fontId="3" fillId="3" borderId="2" xfId="0" applyNumberFormat="1" applyFont="1" applyFill="1" applyBorder="1" applyAlignment="1" applyProtection="1"/>
    <xf numFmtId="0" fontId="3" fillId="3" borderId="2" xfId="0" applyFont="1" applyFill="1" applyBorder="1" applyAlignment="1"/>
    <xf numFmtId="0" fontId="3" fillId="0" borderId="0" xfId="0" applyNumberFormat="1" applyFont="1" applyFill="1" applyBorder="1" applyAlignment="1" applyProtection="1"/>
    <xf numFmtId="0" fontId="3" fillId="0" borderId="0" xfId="0" applyFont="1" applyFill="1" applyBorder="1" applyAlignment="1"/>
    <xf numFmtId="0" fontId="3" fillId="3" borderId="0" xfId="0" applyNumberFormat="1" applyFont="1" applyFill="1" applyBorder="1" applyAlignment="1" applyProtection="1"/>
    <xf numFmtId="0" fontId="3" fillId="3" borderId="0" xfId="0" applyFont="1" applyFill="1" applyBorder="1" applyAlignment="1"/>
    <xf numFmtId="0" fontId="11" fillId="0" borderId="11" xfId="0" applyFont="1" applyFill="1" applyBorder="1">
      <alignment vertical="center"/>
    </xf>
    <xf numFmtId="0" fontId="12" fillId="3" borderId="0" xfId="0" applyFont="1" applyFill="1" applyAlignment="1">
      <alignment horizontal="right" vertical="center"/>
    </xf>
    <xf numFmtId="180" fontId="6" fillId="2" borderId="0" xfId="0" applyNumberFormat="1" applyFont="1" applyFill="1" applyAlignment="1">
      <alignment horizontal="right" vertical="center"/>
    </xf>
    <xf numFmtId="0" fontId="0" fillId="0" borderId="0" xfId="0" applyProtection="1">
      <alignment vertical="center"/>
    </xf>
    <xf numFmtId="0" fontId="12" fillId="3" borderId="0" xfId="0" applyNumberFormat="1" applyFont="1" applyFill="1">
      <alignment vertical="center"/>
    </xf>
    <xf numFmtId="0" fontId="12" fillId="3" borderId="0" xfId="0" applyFont="1" applyFill="1">
      <alignment vertical="center"/>
    </xf>
    <xf numFmtId="0" fontId="13" fillId="2" borderId="12" xfId="0" applyFont="1" applyFill="1" applyBorder="1" applyAlignment="1">
      <alignment horizontal="right" vertical="center"/>
    </xf>
    <xf numFmtId="0" fontId="13" fillId="2" borderId="13" xfId="0" applyFont="1" applyFill="1" applyBorder="1" applyAlignment="1">
      <alignment horizontal="right" vertical="center"/>
    </xf>
    <xf numFmtId="0" fontId="13" fillId="2" borderId="13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right" vertical="center"/>
    </xf>
    <xf numFmtId="180" fontId="7" fillId="0" borderId="0" xfId="49" applyNumberFormat="1" applyFont="1" applyAlignment="1">
      <alignment horizontal="right" wrapText="1"/>
    </xf>
    <xf numFmtId="180" fontId="7" fillId="0" borderId="0" xfId="49" applyNumberFormat="1" applyFont="1" applyAlignment="1">
      <alignment horizontal="center" wrapText="1"/>
    </xf>
    <xf numFmtId="180" fontId="1" fillId="0" borderId="0" xfId="49" applyNumberFormat="1" applyFont="1" applyAlignment="1"/>
  </cellXfs>
  <cellStyles count="51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Обычный_Лист1" xfId="49"/>
    <cellStyle name="Обычный_Лист8" xfId="50"/>
  </cellStyles>
  <dxfs count="54">
    <dxf>
      <font>
        <name val="Calibri"/>
        <scheme val="none"/>
        <charset val="204"/>
        <family val="2"/>
        <b val="0"/>
        <i val="0"/>
        <strike val="0"/>
        <u val="none"/>
        <sz val="11"/>
        <color theme="4" tint="-0.499984740745262"/>
      </font>
      <numFmt numFmtId="0" formatCode="General"/>
      <fill>
        <patternFill patternType="solid">
          <fgColor theme="4" tint="0.799768059327982"/>
          <bgColor theme="4" tint="0.799768059327982"/>
        </patternFill>
      </fill>
    </dxf>
    <dxf>
      <font>
        <name val="Calibri"/>
        <scheme val="none"/>
        <charset val="204"/>
        <family val="2"/>
        <b val="0"/>
        <i val="0"/>
        <strike val="0"/>
        <u val="none"/>
        <sz val="11"/>
        <color theme="4" tint="-0.499984740745262"/>
      </font>
      <fill>
        <patternFill patternType="solid">
          <fgColor theme="4" tint="0.799768059327982"/>
          <bgColor theme="4" tint="0.799768059327982"/>
        </patternFill>
      </fill>
    </dxf>
    <dxf>
      <font>
        <name val="Calibri"/>
        <scheme val="none"/>
        <charset val="204"/>
        <family val="2"/>
        <b val="0"/>
        <i val="0"/>
        <strike val="0"/>
        <u val="none"/>
        <sz val="11"/>
        <color theme="4" tint="-0.499984740745262"/>
      </font>
      <fill>
        <patternFill patternType="solid">
          <fgColor theme="4" tint="0.799768059327982"/>
          <bgColor theme="4" tint="0.799768059327982"/>
        </patternFill>
      </fill>
    </dxf>
    <dxf>
      <font>
        <name val="Calibri"/>
        <scheme val="none"/>
        <charset val="204"/>
        <family val="2"/>
        <b val="0"/>
        <i val="0"/>
        <strike val="0"/>
        <u val="none"/>
        <sz val="11"/>
        <color theme="4" tint="-0.499984740745262"/>
      </font>
      <fill>
        <patternFill patternType="solid">
          <fgColor theme="4" tint="0.799768059327982"/>
          <bgColor theme="4" tint="0.799768059327982"/>
        </patternFill>
      </fill>
    </dxf>
    <dxf>
      <font>
        <name val="Calibri"/>
        <scheme val="none"/>
        <charset val="204"/>
        <family val="2"/>
        <b val="0"/>
        <i val="0"/>
        <strike val="0"/>
        <u val="none"/>
        <sz val="11"/>
        <color theme="4" tint="-0.499984740745262"/>
      </font>
      <fill>
        <patternFill patternType="solid">
          <fgColor theme="4" tint="0.799768059327982"/>
          <bgColor theme="4" tint="0.799768059327982"/>
        </patternFill>
      </fill>
    </dxf>
    <dxf>
      <font>
        <name val="Calibri"/>
        <scheme val="none"/>
        <charset val="204"/>
        <family val="2"/>
        <b val="0"/>
        <i val="0"/>
        <strike val="0"/>
        <u val="none"/>
        <sz val="11"/>
        <color theme="4" tint="-0.499984740745262"/>
      </font>
      <fill>
        <patternFill patternType="solid">
          <fgColor theme="4" tint="0.799768059327982"/>
          <bgColor theme="4" tint="0.799768059327982"/>
        </patternFill>
      </fill>
    </dxf>
    <dxf>
      <font>
        <name val="Calibri"/>
        <scheme val="none"/>
        <charset val="204"/>
        <family val="2"/>
        <b val="0"/>
        <i val="0"/>
        <strike val="0"/>
        <u val="none"/>
        <sz val="11"/>
        <color theme="4" tint="-0.499984740745262"/>
      </font>
      <fill>
        <patternFill patternType="solid">
          <fgColor theme="4" tint="0.799768059327982"/>
          <bgColor theme="4" tint="0.799768059327982"/>
        </patternFill>
      </fill>
    </dxf>
    <dxf>
      <font>
        <name val="Calibri"/>
        <scheme val="none"/>
        <charset val="204"/>
        <family val="2"/>
        <b val="0"/>
        <i val="0"/>
        <strike val="0"/>
        <u val="none"/>
        <sz val="11"/>
        <color theme="4" tint="-0.499984740745262"/>
      </font>
      <fill>
        <patternFill patternType="solid">
          <fgColor theme="4" tint="0.799768059327982"/>
          <bgColor theme="4" tint="0.799768059327982"/>
        </patternFill>
      </fill>
    </dxf>
    <dxf>
      <font>
        <name val="Calibri"/>
        <scheme val="none"/>
        <charset val="204"/>
        <family val="2"/>
        <b val="0"/>
        <i val="0"/>
        <strike val="0"/>
        <u val="none"/>
        <sz val="11"/>
        <color theme="4" tint="-0.499984740745262"/>
      </font>
      <fill>
        <patternFill patternType="solid">
          <fgColor theme="4" tint="0.799768059327982"/>
          <bgColor theme="4" tint="0.799768059327982"/>
        </patternFill>
      </fill>
    </dxf>
    <dxf>
      <font>
        <name val="Calibri"/>
        <scheme val="none"/>
        <charset val="204"/>
        <family val="2"/>
        <b val="0"/>
        <i val="0"/>
        <strike val="0"/>
        <u val="none"/>
        <sz val="11"/>
        <color theme="4" tint="-0.499984740745262"/>
      </font>
      <fill>
        <patternFill patternType="solid">
          <fgColor theme="4" tint="0.799768059327982"/>
          <bgColor theme="4" tint="0.799768059327982"/>
        </patternFill>
      </fill>
    </dxf>
    <dxf>
      <font>
        <name val="Calibri"/>
        <scheme val="none"/>
        <charset val="204"/>
        <family val="2"/>
        <b val="0"/>
        <i val="0"/>
        <strike val="0"/>
        <u val="none"/>
        <sz val="11"/>
        <color theme="4" tint="-0.499984740745262"/>
      </font>
      <fill>
        <patternFill patternType="solid">
          <fgColor theme="4" tint="0.799768059327982"/>
          <bgColor theme="4" tint="0.799768059327982"/>
        </patternFill>
      </fill>
      <alignment horizontal="right" vertical="center"/>
    </dxf>
    <dxf>
      <font>
        <name val="Calibri"/>
        <scheme val="none"/>
        <charset val="204"/>
        <family val="2"/>
        <b val="0"/>
        <i val="0"/>
        <strike val="0"/>
        <u val="none"/>
        <sz val="11"/>
        <color theme="4" tint="-0.499984740745262"/>
      </font>
      <fill>
        <patternFill patternType="solid">
          <fgColor theme="4" tint="0.799768059327982"/>
          <bgColor theme="4" tint="0.799768059327982"/>
        </patternFill>
      </fill>
      <alignment horizontal="right" vertical="center"/>
    </dxf>
    <dxf>
      <font>
        <name val="Calibri"/>
        <scheme val="none"/>
        <charset val="204"/>
        <family val="2"/>
        <b val="0"/>
        <i val="0"/>
        <strike val="0"/>
        <u val="none"/>
        <sz val="11"/>
        <color theme="4" tint="-0.499984740745262"/>
      </font>
      <fill>
        <patternFill patternType="solid">
          <fgColor theme="4" tint="0.799768059327982"/>
          <bgColor theme="4" tint="0.799768059327982"/>
        </patternFill>
      </fill>
      <alignment horizontal="right" vertical="center"/>
    </dxf>
    <dxf>
      <font>
        <name val="Calibri"/>
        <scheme val="none"/>
        <charset val="204"/>
        <family val="2"/>
        <b val="0"/>
        <i val="0"/>
        <strike val="0"/>
        <u val="none"/>
        <sz val="11"/>
        <color theme="4" tint="-0.499984740745262"/>
      </font>
      <fill>
        <patternFill patternType="solid">
          <fgColor theme="4" tint="0.799768059327982"/>
          <bgColor theme="4" tint="0.799768059327982"/>
        </patternFill>
      </fill>
      <alignment horizontal="right" vertical="center"/>
    </dxf>
    <dxf>
      <font>
        <name val="Calibri"/>
        <scheme val="none"/>
        <charset val="204"/>
        <family val="2"/>
        <b val="0"/>
        <i val="0"/>
        <strike val="0"/>
        <u val="none"/>
        <sz val="11"/>
        <color theme="4" tint="-0.499984740745262"/>
      </font>
      <numFmt numFmtId="0" formatCode="General"/>
      <fill>
        <patternFill patternType="solid">
          <fgColor theme="4" tint="0.799768059327982"/>
          <bgColor theme="4" tint="0.799768059327982"/>
        </patternFill>
      </fill>
      <alignment horizontal="right" vertical="center"/>
    </dxf>
    <dxf>
      <numFmt numFmtId="180" formatCode="0.00_ "/>
    </dxf>
    <dxf>
      <numFmt numFmtId="0" formatCode="General"/>
    </dxf>
    <dxf>
      <numFmt numFmtId="0" formatCode="General"/>
    </dxf>
    <dxf>
      <numFmt numFmtId="180" formatCode="0.00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name val="Calibri"/>
        <scheme val="none"/>
        <charset val="204"/>
        <family val="2"/>
        <b val="0"/>
        <i val="0"/>
        <strike val="0"/>
        <u val="none"/>
        <sz val="11"/>
        <color indexed="8"/>
      </font>
      <numFmt numFmtId="180" formatCode="0.00_ "/>
      <fill>
        <patternFill patternType="none"/>
      </fill>
    </dxf>
    <dxf>
      <font>
        <name val="Arial"/>
        <scheme val="none"/>
        <charset val="204"/>
        <family val="2"/>
        <b val="0"/>
        <i val="0"/>
        <strike val="0"/>
        <u val="none"/>
        <sz val="10"/>
        <color rgb="FF000000"/>
      </font>
      <fill>
        <patternFill patternType="solid">
          <bgColor rgb="FFFFFFFF"/>
        </patternFill>
      </fill>
      <alignment horizontal="right" vertical="center"/>
    </dxf>
    <dxf>
      <font>
        <name val="Arial"/>
        <scheme val="none"/>
        <charset val="204"/>
        <family val="2"/>
        <b val="0"/>
        <i val="0"/>
        <strike val="0"/>
        <u val="none"/>
        <sz val="10"/>
        <color rgb="FF000000"/>
      </font>
      <fill>
        <patternFill patternType="solid">
          <bgColor rgb="FFFFFFFF"/>
        </patternFill>
      </fill>
      <alignment horizontal="right" vertical="center"/>
    </dxf>
    <dxf>
      <font>
        <name val="Arial"/>
        <scheme val="none"/>
        <charset val="204"/>
        <family val="2"/>
        <b val="0"/>
        <i val="0"/>
        <strike val="0"/>
        <u val="none"/>
        <sz val="10"/>
        <color rgb="FF000000"/>
      </font>
      <fill>
        <patternFill patternType="solid">
          <bgColor rgb="FFFFFFFF"/>
        </patternFill>
      </fill>
      <alignment horizontal="right" vertical="center"/>
    </dxf>
    <dxf>
      <font>
        <name val="Arial"/>
        <scheme val="none"/>
        <charset val="204"/>
        <family val="2"/>
        <b val="0"/>
        <i val="0"/>
        <strike val="0"/>
        <u val="none"/>
        <sz val="10"/>
        <color rgb="FF000000"/>
      </font>
      <fill>
        <patternFill patternType="solid">
          <bgColor rgb="FFFFFFFF"/>
        </patternFill>
      </fill>
      <alignment horizontal="right" vertical="center"/>
    </dxf>
    <dxf>
      <font>
        <name val="Arial"/>
        <scheme val="none"/>
        <charset val="204"/>
        <family val="2"/>
        <b val="0"/>
        <i val="0"/>
        <strike val="0"/>
        <u val="none"/>
        <sz val="10"/>
        <color rgb="FF000000"/>
      </font>
      <fill>
        <patternFill patternType="solid">
          <bgColor rgb="FFFFFFFF"/>
        </patternFill>
      </fill>
      <alignment horizontal="right" vertical="center"/>
    </dxf>
    <dxf>
      <font>
        <name val="Calibri"/>
        <scheme val="none"/>
        <charset val="204"/>
        <family val="0"/>
        <b val="0"/>
        <i val="0"/>
        <strike val="0"/>
        <u val="none"/>
        <sz val="11"/>
        <color indexed="8"/>
      </font>
      <numFmt numFmtId="180" formatCode="0.00_ "/>
      <fill>
        <patternFill patternType="none"/>
      </fill>
      <border>
        <left/>
        <right/>
        <top/>
        <bottom/>
      </border>
    </dxf>
    <dxf>
      <font>
        <name val="Arial"/>
        <scheme val="none"/>
        <sz val="10"/>
        <color rgb="FF000000"/>
      </font>
      <fill>
        <patternFill patternType="solid">
          <bgColor rgb="FFFFFFFF"/>
        </patternFill>
      </fill>
      <alignment horizontal="right"/>
    </dxf>
    <dxf>
      <font>
        <name val="Arial"/>
        <scheme val="none"/>
        <sz val="10"/>
        <color rgb="FF000000"/>
      </font>
      <fill>
        <patternFill patternType="solid">
          <bgColor rgb="FFFFFFFF"/>
        </patternFill>
      </fill>
      <alignment horizontal="right"/>
    </dxf>
    <dxf>
      <font>
        <name val="Arial"/>
        <scheme val="none"/>
        <sz val="10"/>
        <color rgb="FF000000"/>
      </font>
      <fill>
        <patternFill patternType="solid">
          <bgColor rgb="FFFFFFFF"/>
        </patternFill>
      </fill>
      <alignment horizontal="right"/>
    </dxf>
    <dxf>
      <font>
        <name val="Arial"/>
        <scheme val="none"/>
        <sz val="10"/>
        <color rgb="FF000000"/>
      </font>
      <fill>
        <patternFill patternType="solid">
          <bgColor rgb="FFFFFFFF"/>
        </patternFill>
      </fill>
      <alignment horizontal="right"/>
    </dxf>
    <dxf>
      <font>
        <name val="Arial"/>
        <scheme val="none"/>
        <sz val="10"/>
        <color rgb="FF000000"/>
      </font>
      <fill>
        <patternFill patternType="solid">
          <bgColor rgb="FFFFFFFF"/>
        </patternFill>
      </fill>
      <alignment horizontal="right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3"/>
      <tableStyleElement type="headerRow" dxfId="42"/>
      <tableStyleElement type="totalRow" dxfId="41"/>
      <tableStyleElement type="firstColumn" dxfId="40"/>
      <tableStyleElement type="lastColumn" dxfId="39"/>
      <tableStyleElement type="firstRowStripe" dxfId="38"/>
      <tableStyleElement type="firstColumnStripe" dxfId="37"/>
    </tableStyle>
    <tableStyle name="PivotStylePreset2_Accent1" table="0" count="10" xr9:uid="{267968C8-6FFD-4C36-ACC1-9EA1FD1885CA}">
      <tableStyleElement type="headerRow" dxfId="53"/>
      <tableStyleElement type="totalRow" dxfId="52"/>
      <tableStyleElement type="firstRowStripe" dxfId="51"/>
      <tableStyleElement type="firstColumnStripe" dxfId="50"/>
      <tableStyleElement type="firstSubtotalRow" dxfId="49"/>
      <tableStyleElement type="secondSubtotalRow" dxfId="48"/>
      <tableStyleElement type="firstRowSubheading" dxfId="47"/>
      <tableStyleElement type="secondRowSubheading" dxfId="46"/>
      <tableStyleElement type="pageFieldLabels" dxfId="45"/>
      <tableStyleElement type="pageFieldValues" dxfId="4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Полная связь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'Графики средних'!$A$3</c:f>
              <c:strCache>
                <c:ptCount val="1"/>
                <c:pt idx="0">
                  <c:v>кластер1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'Графики средних'!$B$2:$J$2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cat>
          <c:val>
            <c:numRef>
              <c:f>'Графики средних'!$B$3:$J$3</c:f>
              <c:numCache>
                <c:formatCode>General</c:formatCode>
                <c:ptCount val="9"/>
                <c:pt idx="0">
                  <c:v>-3.06137852599457</c:v>
                </c:pt>
                <c:pt idx="1">
                  <c:v>-1.10740395101502</c:v>
                </c:pt>
                <c:pt idx="2">
                  <c:v>-1.64705905855255</c:v>
                </c:pt>
                <c:pt idx="3">
                  <c:v>6.28283827709432</c:v>
                </c:pt>
                <c:pt idx="4">
                  <c:v>-0.497620369088987</c:v>
                </c:pt>
                <c:pt idx="5">
                  <c:v>4.46522105012801</c:v>
                </c:pt>
                <c:pt idx="6">
                  <c:v>-2.23438849725454</c:v>
                </c:pt>
                <c:pt idx="7">
                  <c:v>-0.0196282344010262</c:v>
                </c:pt>
                <c:pt idx="8">
                  <c:v>-1.88499601711906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'Графики средних'!$A$4</c:f>
              <c:strCache>
                <c:ptCount val="1"/>
                <c:pt idx="0">
                  <c:v>кластер2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'Графики средних'!$B$2:$J$2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cat>
          <c:val>
            <c:numRef>
              <c:f>'Графики средних'!$B$4:$J$4</c:f>
              <c:numCache>
                <c:formatCode>General</c:formatCode>
                <c:ptCount val="9"/>
                <c:pt idx="0">
                  <c:v>-1.78282552908311</c:v>
                </c:pt>
                <c:pt idx="1">
                  <c:v>-1.10701008299778</c:v>
                </c:pt>
                <c:pt idx="2">
                  <c:v>-1.05586354906125</c:v>
                </c:pt>
                <c:pt idx="3">
                  <c:v>1.34883100758349</c:v>
                </c:pt>
                <c:pt idx="4">
                  <c:v>-0.455939016506133</c:v>
                </c:pt>
                <c:pt idx="5">
                  <c:v>0.935962651297568</c:v>
                </c:pt>
                <c:pt idx="6">
                  <c:v>-0.860190510665067</c:v>
                </c:pt>
                <c:pt idx="7">
                  <c:v>-0.069109220205291</c:v>
                </c:pt>
                <c:pt idx="8">
                  <c:v>-0.496064352824122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'Графики средних'!$A$5</c:f>
              <c:strCache>
                <c:ptCount val="1"/>
                <c:pt idx="0">
                  <c:v>кластер3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'Графики средних'!$B$2:$J$2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cat>
          <c:val>
            <c:numRef>
              <c:f>'Графики средних'!$B$5:$J$5</c:f>
              <c:numCache>
                <c:formatCode>General</c:formatCode>
                <c:ptCount val="9"/>
                <c:pt idx="0">
                  <c:v>-0.0106879385154576</c:v>
                </c:pt>
                <c:pt idx="1">
                  <c:v>-0.292829865682602</c:v>
                </c:pt>
                <c:pt idx="2">
                  <c:v>-0.0616890097386139</c:v>
                </c:pt>
                <c:pt idx="3">
                  <c:v>-0.250517494186359</c:v>
                </c:pt>
                <c:pt idx="4">
                  <c:v>-0.203828335870805</c:v>
                </c:pt>
                <c:pt idx="5">
                  <c:v>-0.208993140054574</c:v>
                </c:pt>
                <c:pt idx="6">
                  <c:v>-0.27391238727278</c:v>
                </c:pt>
                <c:pt idx="7">
                  <c:v>-0.232043450503685</c:v>
                </c:pt>
                <c:pt idx="8">
                  <c:v>0.27318516295152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'Графики средних'!$A$6</c:f>
              <c:strCache>
                <c:ptCount val="1"/>
                <c:pt idx="0">
                  <c:v>кластер4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'Графики средних'!$B$2:$J$2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cat>
          <c:val>
            <c:numRef>
              <c:f>'Графики средних'!$B$6:$J$6</c:f>
              <c:numCache>
                <c:formatCode>General</c:formatCode>
                <c:ptCount val="9"/>
                <c:pt idx="0">
                  <c:v>0.989430352624343</c:v>
                </c:pt>
                <c:pt idx="1">
                  <c:v>1.82371259978729</c:v>
                </c:pt>
                <c:pt idx="2">
                  <c:v>1.07733121631505</c:v>
                </c:pt>
                <c:pt idx="3">
                  <c:v>-0.216622072819173</c:v>
                </c:pt>
                <c:pt idx="4">
                  <c:v>-0.0448284489281416</c:v>
                </c:pt>
                <c:pt idx="5">
                  <c:v>-0.675819463230664</c:v>
                </c:pt>
                <c:pt idx="6">
                  <c:v>1.38837672433146</c:v>
                </c:pt>
                <c:pt idx="7">
                  <c:v>0.150040872039367</c:v>
                </c:pt>
                <c:pt idx="8">
                  <c:v>-0.235881601120498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'Графики средних'!$A$7</c:f>
              <c:strCache>
                <c:ptCount val="1"/>
                <c:pt idx="0">
                  <c:v>кластер5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cat>
            <c:strRef>
              <c:f>'Графики средних'!$B$2:$J$2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cat>
          <c:val>
            <c:numRef>
              <c:f>'Графики средних'!$B$7:$J$7</c:f>
              <c:numCache>
                <c:formatCode>General</c:formatCode>
                <c:ptCount val="9"/>
                <c:pt idx="0">
                  <c:v>0.00591264524071991</c:v>
                </c:pt>
                <c:pt idx="1">
                  <c:v>-0.0707925631399439</c:v>
                </c:pt>
                <c:pt idx="2">
                  <c:v>-0.587091311517524</c:v>
                </c:pt>
                <c:pt idx="3">
                  <c:v>-0.557393062832532</c:v>
                </c:pt>
                <c:pt idx="4">
                  <c:v>-0.264373204130391</c:v>
                </c:pt>
                <c:pt idx="5">
                  <c:v>1.53604524596699</c:v>
                </c:pt>
                <c:pt idx="6">
                  <c:v>1.06568110494473</c:v>
                </c:pt>
                <c:pt idx="7">
                  <c:v>-0.297103946709747</c:v>
                </c:pt>
                <c:pt idx="8">
                  <c:v>-1.17157087967252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'Графики средних'!$A$8</c:f>
              <c:strCache>
                <c:ptCount val="1"/>
                <c:pt idx="0">
                  <c:v>кластер6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cat>
            <c:strRef>
              <c:f>'Графики средних'!$B$2:$J$2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cat>
          <c:val>
            <c:numRef>
              <c:f>'Графики средних'!$B$8:$J$8</c:f>
              <c:numCache>
                <c:formatCode>General</c:formatCode>
                <c:ptCount val="9"/>
                <c:pt idx="0">
                  <c:v>0.77191314978338</c:v>
                </c:pt>
                <c:pt idx="1">
                  <c:v>-0.38694549722875</c:v>
                </c:pt>
                <c:pt idx="2">
                  <c:v>-0.003122404871649</c:v>
                </c:pt>
                <c:pt idx="3">
                  <c:v>0.551372615709228</c:v>
                </c:pt>
                <c:pt idx="4">
                  <c:v>2.7882245075457</c:v>
                </c:pt>
                <c:pt idx="5">
                  <c:v>-0.327692161991049</c:v>
                </c:pt>
                <c:pt idx="6">
                  <c:v>-0.441939637623211</c:v>
                </c:pt>
                <c:pt idx="7">
                  <c:v>0.079767429552721</c:v>
                </c:pt>
                <c:pt idx="8">
                  <c:v>0.0017355391537609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'Графики средних'!$A$9</c:f>
              <c:strCache>
                <c:ptCount val="1"/>
                <c:pt idx="0">
                  <c:v>кластер7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cat>
            <c:strRef>
              <c:f>'Графики средних'!$B$2:$J$2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cat>
          <c:val>
            <c:numRef>
              <c:f>'Графики средних'!$B$9:$J$9</c:f>
              <c:numCache>
                <c:formatCode>General</c:formatCode>
                <c:ptCount val="9"/>
                <c:pt idx="0">
                  <c:v>0.264820399805801</c:v>
                </c:pt>
                <c:pt idx="1">
                  <c:v>3.27359000475206</c:v>
                </c:pt>
                <c:pt idx="2">
                  <c:v>2.23098681451877</c:v>
                </c:pt>
                <c:pt idx="3">
                  <c:v>0.0140477099543747</c:v>
                </c:pt>
                <c:pt idx="4">
                  <c:v>-0.150591532054469</c:v>
                </c:pt>
                <c:pt idx="5">
                  <c:v>-0.855229560356542</c:v>
                </c:pt>
                <c:pt idx="6">
                  <c:v>1.07248997315095</c:v>
                </c:pt>
                <c:pt idx="7">
                  <c:v>6.14414110437242</c:v>
                </c:pt>
                <c:pt idx="8">
                  <c:v>1.1051418557355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5524272"/>
        <c:axId val="945524688"/>
      </c:lineChart>
      <c:catAx>
        <c:axId val="94552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5524688"/>
        <c:crosses val="autoZero"/>
        <c:auto val="1"/>
        <c:lblAlgn val="ctr"/>
        <c:lblOffset val="100"/>
        <c:noMultiLvlLbl val="0"/>
      </c:catAx>
      <c:valAx>
        <c:axId val="94552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552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cc682b9-5942-4e1d-bb2b-495fe943d0a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Невзвешенное</a:t>
            </a:r>
            <a:r>
              <a:rPr lang="ru-RU" baseline="0"/>
              <a:t> попарное среднее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'Графики средних'!$A$13</c:f>
              <c:strCache>
                <c:ptCount val="1"/>
                <c:pt idx="0">
                  <c:v>кластер1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'Графики средних'!$B$12:$J$12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cat>
          <c:val>
            <c:numRef>
              <c:f>'Графики средних'!$B$13:$J$13</c:f>
              <c:numCache>
                <c:formatCode>General</c:formatCode>
                <c:ptCount val="9"/>
                <c:pt idx="0">
                  <c:v>0.555672111286578</c:v>
                </c:pt>
                <c:pt idx="1">
                  <c:v>0.364530062915218</c:v>
                </c:pt>
                <c:pt idx="2">
                  <c:v>-0.857082473532359</c:v>
                </c:pt>
                <c:pt idx="3">
                  <c:v>-0.881493799637047</c:v>
                </c:pt>
                <c:pt idx="4">
                  <c:v>0.725453663771521</c:v>
                </c:pt>
                <c:pt idx="5">
                  <c:v>2.14940934675586</c:v>
                </c:pt>
                <c:pt idx="6">
                  <c:v>3.98639947851197</c:v>
                </c:pt>
                <c:pt idx="7">
                  <c:v>-0.376551772524593</c:v>
                </c:pt>
                <c:pt idx="8">
                  <c:v>-0.322148438593776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'Графики средних'!$A$14</c:f>
              <c:strCache>
                <c:ptCount val="1"/>
                <c:pt idx="0">
                  <c:v>кластер2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'Графики средних'!$B$12:$J$12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cat>
          <c:val>
            <c:numRef>
              <c:f>'Графики средних'!$B$14:$J$14</c:f>
              <c:numCache>
                <c:formatCode>General</c:formatCode>
                <c:ptCount val="9"/>
                <c:pt idx="0">
                  <c:v>1.30612079992379</c:v>
                </c:pt>
                <c:pt idx="1">
                  <c:v>-0.268908175811961</c:v>
                </c:pt>
                <c:pt idx="2">
                  <c:v>-0.697701232694953</c:v>
                </c:pt>
                <c:pt idx="3">
                  <c:v>0.252858779178754</c:v>
                </c:pt>
                <c:pt idx="4">
                  <c:v>5.5028103077881</c:v>
                </c:pt>
                <c:pt idx="5">
                  <c:v>-1.78070905495235</c:v>
                </c:pt>
                <c:pt idx="6">
                  <c:v>-0.387983648392441</c:v>
                </c:pt>
                <c:pt idx="7">
                  <c:v>0.651572519045084</c:v>
                </c:pt>
                <c:pt idx="8">
                  <c:v>0.91380691923409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'Графики средних'!$A$15</c:f>
              <c:strCache>
                <c:ptCount val="1"/>
                <c:pt idx="0">
                  <c:v>кластер3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'Графики средних'!$B$12:$J$12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cat>
          <c:val>
            <c:numRef>
              <c:f>'Графики средних'!$B$15:$J$15</c:f>
              <c:numCache>
                <c:formatCode>General</c:formatCode>
                <c:ptCount val="9"/>
                <c:pt idx="0">
                  <c:v>-0.632723162470615</c:v>
                </c:pt>
                <c:pt idx="1">
                  <c:v>2.8727800637076</c:v>
                </c:pt>
                <c:pt idx="2">
                  <c:v>2.444188097552</c:v>
                </c:pt>
                <c:pt idx="3">
                  <c:v>1.29765720703541</c:v>
                </c:pt>
                <c:pt idx="4">
                  <c:v>-0.102700078960534</c:v>
                </c:pt>
                <c:pt idx="5">
                  <c:v>0.412550569226752</c:v>
                </c:pt>
                <c:pt idx="6">
                  <c:v>1.16752804113855</c:v>
                </c:pt>
                <c:pt idx="7">
                  <c:v>5.4273190417987</c:v>
                </c:pt>
                <c:pt idx="8">
                  <c:v>2.64771512485808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'Графики средних'!$A$16</c:f>
              <c:strCache>
                <c:ptCount val="1"/>
                <c:pt idx="0">
                  <c:v>кластер4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'Графики средних'!$B$12:$J$12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cat>
          <c:val>
            <c:numRef>
              <c:f>'Графики средних'!$B$16:$J$16</c:f>
              <c:numCache>
                <c:formatCode>General</c:formatCode>
                <c:ptCount val="9"/>
                <c:pt idx="0">
                  <c:v>-3.06137852599457</c:v>
                </c:pt>
                <c:pt idx="1">
                  <c:v>-1.10740395101502</c:v>
                </c:pt>
                <c:pt idx="2">
                  <c:v>-1.64705905855255</c:v>
                </c:pt>
                <c:pt idx="3">
                  <c:v>6.28283827709432</c:v>
                </c:pt>
                <c:pt idx="4">
                  <c:v>-0.497620369088987</c:v>
                </c:pt>
                <c:pt idx="5">
                  <c:v>4.46522105012801</c:v>
                </c:pt>
                <c:pt idx="6">
                  <c:v>-2.23438849725454</c:v>
                </c:pt>
                <c:pt idx="7">
                  <c:v>-0.0196282344010262</c:v>
                </c:pt>
                <c:pt idx="8">
                  <c:v>-1.88499601711906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'Графики средних'!$A$17</c:f>
              <c:strCache>
                <c:ptCount val="1"/>
                <c:pt idx="0">
                  <c:v>кластер5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cat>
            <c:strRef>
              <c:f>'Графики средних'!$B$12:$J$12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cat>
          <c:val>
            <c:numRef>
              <c:f>'Графики средних'!$B$17:$J$17</c:f>
              <c:numCache>
                <c:formatCode>General</c:formatCode>
                <c:ptCount val="9"/>
                <c:pt idx="0">
                  <c:v>1.16236396208222</c:v>
                </c:pt>
                <c:pt idx="1">
                  <c:v>3.67439994579651</c:v>
                </c:pt>
                <c:pt idx="2">
                  <c:v>2.01778553148555</c:v>
                </c:pt>
                <c:pt idx="3">
                  <c:v>-1.26956178712666</c:v>
                </c:pt>
                <c:pt idx="4">
                  <c:v>-0.198482985148405</c:v>
                </c:pt>
                <c:pt idx="5">
                  <c:v>-2.12300968993983</c:v>
                </c:pt>
                <c:pt idx="6">
                  <c:v>0.977451905163345</c:v>
                </c:pt>
                <c:pt idx="7">
                  <c:v>6.86096316694615</c:v>
                </c:pt>
                <c:pt idx="8">
                  <c:v>-0.437431413387091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'Графики средних'!$A$18</c:f>
              <c:strCache>
                <c:ptCount val="1"/>
                <c:pt idx="0">
                  <c:v>кластер6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cat>
            <c:strRef>
              <c:f>'Графики средних'!$B$12:$J$12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cat>
          <c:val>
            <c:numRef>
              <c:f>'Графики средних'!$B$18:$J$18</c:f>
              <c:numCache>
                <c:formatCode>General</c:formatCode>
                <c:ptCount val="9"/>
                <c:pt idx="0">
                  <c:v>0.989430352624343</c:v>
                </c:pt>
                <c:pt idx="1">
                  <c:v>1.82371259978729</c:v>
                </c:pt>
                <c:pt idx="2">
                  <c:v>1.07733121631505</c:v>
                </c:pt>
                <c:pt idx="3">
                  <c:v>-0.216622072819173</c:v>
                </c:pt>
                <c:pt idx="4">
                  <c:v>-0.0448284489281416</c:v>
                </c:pt>
                <c:pt idx="5">
                  <c:v>-0.675819463230664</c:v>
                </c:pt>
                <c:pt idx="6">
                  <c:v>1.38837672433146</c:v>
                </c:pt>
                <c:pt idx="7">
                  <c:v>0.150040872039367</c:v>
                </c:pt>
                <c:pt idx="8">
                  <c:v>-0.235881601120498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'Графики средних'!$A$19</c:f>
              <c:strCache>
                <c:ptCount val="1"/>
                <c:pt idx="0">
                  <c:v>кластер7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cat>
            <c:strRef>
              <c:f>'Графики средних'!$B$12:$J$12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cat>
          <c:val>
            <c:numRef>
              <c:f>'Графики средних'!$B$19:$J$19</c:f>
              <c:numCache>
                <c:formatCode>General</c:formatCode>
                <c:ptCount val="9"/>
                <c:pt idx="0">
                  <c:v>-0.14802592845935</c:v>
                </c:pt>
                <c:pt idx="1">
                  <c:v>-0.370959949902211</c:v>
                </c:pt>
                <c:pt idx="2">
                  <c:v>-0.190011220923526</c:v>
                </c:pt>
                <c:pt idx="3">
                  <c:v>-0.0478182010946944</c:v>
                </c:pt>
                <c:pt idx="4">
                  <c:v>-0.0715412695674225</c:v>
                </c:pt>
                <c:pt idx="5">
                  <c:v>0.062471766294476</c:v>
                </c:pt>
                <c:pt idx="6">
                  <c:v>-0.272190597779898</c:v>
                </c:pt>
                <c:pt idx="7">
                  <c:v>-0.205711946569527</c:v>
                </c:pt>
                <c:pt idx="8">
                  <c:v>0.0243152382222215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3938288"/>
        <c:axId val="863947856"/>
      </c:lineChart>
      <c:catAx>
        <c:axId val="86393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3947856"/>
        <c:crosses val="autoZero"/>
        <c:auto val="1"/>
        <c:lblAlgn val="ctr"/>
        <c:lblOffset val="100"/>
        <c:noMultiLvlLbl val="0"/>
      </c:catAx>
      <c:valAx>
        <c:axId val="86394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393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4d36186-7f60-4773-86e1-6437d178a7f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Метод Уорда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'Графики средних'!$A$23</c:f>
              <c:strCache>
                <c:ptCount val="1"/>
                <c:pt idx="0">
                  <c:v>кластер1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'Графики средних'!$B$22:$J$22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cat>
          <c:val>
            <c:numRef>
              <c:f>'Графики средних'!$B$23:$J$23</c:f>
              <c:numCache>
                <c:formatCode>General</c:formatCode>
                <c:ptCount val="9"/>
                <c:pt idx="0">
                  <c:v>0.856539704254102</c:v>
                </c:pt>
                <c:pt idx="1">
                  <c:v>-0.421408948737302</c:v>
                </c:pt>
                <c:pt idx="2">
                  <c:v>-0.0257591608166719</c:v>
                </c:pt>
                <c:pt idx="3">
                  <c:v>0.931977757285582</c:v>
                </c:pt>
                <c:pt idx="4">
                  <c:v>3.34069539849343</c:v>
                </c:pt>
                <c:pt idx="5">
                  <c:v>-0.788671103553419</c:v>
                </c:pt>
                <c:pt idx="6">
                  <c:v>-0.409783470128309</c:v>
                </c:pt>
                <c:pt idx="7">
                  <c:v>0.207635519289247</c:v>
                </c:pt>
                <c:pt idx="8">
                  <c:v>-0.101902160089612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'Графики средних'!$A$24</c:f>
              <c:strCache>
                <c:ptCount val="1"/>
                <c:pt idx="0">
                  <c:v>кластер2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'Графики средних'!$B$22:$J$22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cat>
          <c:val>
            <c:numRef>
              <c:f>'Графики средних'!$B$24:$J$24</c:f>
              <c:numCache>
                <c:formatCode>General</c:formatCode>
                <c:ptCount val="9"/>
                <c:pt idx="0">
                  <c:v>0.0714247711176397</c:v>
                </c:pt>
                <c:pt idx="1">
                  <c:v>-0.056153801832502</c:v>
                </c:pt>
                <c:pt idx="2">
                  <c:v>-0.792944998354795</c:v>
                </c:pt>
                <c:pt idx="3">
                  <c:v>-0.578004732497732</c:v>
                </c:pt>
                <c:pt idx="4">
                  <c:v>-0.217148371995272</c:v>
                </c:pt>
                <c:pt idx="5">
                  <c:v>1.59862931268134</c:v>
                </c:pt>
                <c:pt idx="6">
                  <c:v>1.29210934960635</c:v>
                </c:pt>
                <c:pt idx="7">
                  <c:v>-0.306879337197494</c:v>
                </c:pt>
                <c:pt idx="8">
                  <c:v>-1.02865606846477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'Графики средних'!$A$25</c:f>
              <c:strCache>
                <c:ptCount val="1"/>
                <c:pt idx="0">
                  <c:v>кластер3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'Графики средних'!$B$22:$J$22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cat>
          <c:val>
            <c:numRef>
              <c:f>'Графики средних'!$B$25:$J$25</c:f>
              <c:numCache>
                <c:formatCode>General</c:formatCode>
                <c:ptCount val="9"/>
                <c:pt idx="0">
                  <c:v>0.264820399805801</c:v>
                </c:pt>
                <c:pt idx="1">
                  <c:v>3.27359000475206</c:v>
                </c:pt>
                <c:pt idx="2">
                  <c:v>2.23098681451877</c:v>
                </c:pt>
                <c:pt idx="3">
                  <c:v>0.0140477099543747</c:v>
                </c:pt>
                <c:pt idx="4">
                  <c:v>-0.150591532054469</c:v>
                </c:pt>
                <c:pt idx="5">
                  <c:v>-0.855229560356542</c:v>
                </c:pt>
                <c:pt idx="6">
                  <c:v>1.07248997315095</c:v>
                </c:pt>
                <c:pt idx="7">
                  <c:v>6.14414110437242</c:v>
                </c:pt>
                <c:pt idx="8">
                  <c:v>1.1051418557355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'Графики средних'!$A$26</c:f>
              <c:strCache>
                <c:ptCount val="1"/>
                <c:pt idx="0">
                  <c:v>кластер4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'Графики средних'!$B$22:$J$22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cat>
          <c:val>
            <c:numRef>
              <c:f>'Графики средних'!$B$26:$J$26</c:f>
              <c:numCache>
                <c:formatCode>General</c:formatCode>
                <c:ptCount val="9"/>
                <c:pt idx="0">
                  <c:v>-0.320195263987542</c:v>
                </c:pt>
                <c:pt idx="1">
                  <c:v>-0.410380644254565</c:v>
                </c:pt>
                <c:pt idx="2">
                  <c:v>-0.0494815570978335</c:v>
                </c:pt>
                <c:pt idx="3">
                  <c:v>-0.363572293256675</c:v>
                </c:pt>
                <c:pt idx="4">
                  <c:v>-0.233848981279311</c:v>
                </c:pt>
                <c:pt idx="5">
                  <c:v>0.00263499399482006</c:v>
                </c:pt>
                <c:pt idx="6">
                  <c:v>-0.354871950653473</c:v>
                </c:pt>
                <c:pt idx="7">
                  <c:v>-0.231509585697291</c:v>
                </c:pt>
                <c:pt idx="8">
                  <c:v>1.15783256812598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'Графики средних'!$A$27</c:f>
              <c:strCache>
                <c:ptCount val="1"/>
                <c:pt idx="0">
                  <c:v>кластер5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cat>
            <c:strRef>
              <c:f>'Графики средних'!$B$22:$J$22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cat>
          <c:val>
            <c:numRef>
              <c:f>'Графики средних'!$B$27:$J$27</c:f>
              <c:numCache>
                <c:formatCode>General</c:formatCode>
                <c:ptCount val="9"/>
                <c:pt idx="0">
                  <c:v>0.0118016397687209</c:v>
                </c:pt>
                <c:pt idx="1">
                  <c:v>-0.261992509875911</c:v>
                </c:pt>
                <c:pt idx="2">
                  <c:v>-0.00809633151807231</c:v>
                </c:pt>
                <c:pt idx="3">
                  <c:v>-0.14217453116324</c:v>
                </c:pt>
                <c:pt idx="4">
                  <c:v>-0.0341293420178321</c:v>
                </c:pt>
                <c:pt idx="5">
                  <c:v>-0.217395290717303</c:v>
                </c:pt>
                <c:pt idx="6">
                  <c:v>-0.368049113240797</c:v>
                </c:pt>
                <c:pt idx="7">
                  <c:v>-0.234491777496137</c:v>
                </c:pt>
                <c:pt idx="8">
                  <c:v>-0.371971774218515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'Графики средних'!$A$28</c:f>
              <c:strCache>
                <c:ptCount val="1"/>
                <c:pt idx="0">
                  <c:v>кластер6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cat>
            <c:strRef>
              <c:f>'Графики средних'!$B$22:$J$22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cat>
          <c:val>
            <c:numRef>
              <c:f>'Графики средних'!$B$28:$J$28</c:f>
              <c:numCache>
                <c:formatCode>General</c:formatCode>
                <c:ptCount val="9"/>
                <c:pt idx="0">
                  <c:v>1.14711100486212</c:v>
                </c:pt>
                <c:pt idx="1">
                  <c:v>1.35994942065388</c:v>
                </c:pt>
                <c:pt idx="2">
                  <c:v>0.711290532922533</c:v>
                </c:pt>
                <c:pt idx="3">
                  <c:v>-0.298396772280854</c:v>
                </c:pt>
                <c:pt idx="4">
                  <c:v>-0.157910328476004</c:v>
                </c:pt>
                <c:pt idx="5">
                  <c:v>-0.618295540583308</c:v>
                </c:pt>
                <c:pt idx="6">
                  <c:v>1.20907548791844</c:v>
                </c:pt>
                <c:pt idx="7">
                  <c:v>0.0593859701300751</c:v>
                </c:pt>
                <c:pt idx="8">
                  <c:v>-0.151386020626676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'Графики средних'!$A$29</c:f>
              <c:strCache>
                <c:ptCount val="1"/>
                <c:pt idx="0">
                  <c:v>кластер7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cat>
            <c:strRef>
              <c:f>'Графики средних'!$B$22:$J$22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cat>
          <c:val>
            <c:numRef>
              <c:f>'Графики средних'!$B$29:$J$29</c:f>
              <c:numCache>
                <c:formatCode>General</c:formatCode>
                <c:ptCount val="9"/>
                <c:pt idx="0">
                  <c:v>-1.94264465369704</c:v>
                </c:pt>
                <c:pt idx="1">
                  <c:v>-1.10705931649994</c:v>
                </c:pt>
                <c:pt idx="2">
                  <c:v>-1.12976298774766</c:v>
                </c:pt>
                <c:pt idx="3">
                  <c:v>1.96558191627235</c:v>
                </c:pt>
                <c:pt idx="4">
                  <c:v>-0.46114918557899</c:v>
                </c:pt>
                <c:pt idx="5">
                  <c:v>1.37711995115137</c:v>
                </c:pt>
                <c:pt idx="6">
                  <c:v>-1.03196525898875</c:v>
                </c:pt>
                <c:pt idx="7">
                  <c:v>-0.0629240969797579</c:v>
                </c:pt>
                <c:pt idx="8">
                  <c:v>-0.669680810860989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5838368"/>
        <c:axId val="555838784"/>
      </c:lineChart>
      <c:catAx>
        <c:axId val="55583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5838784"/>
        <c:crosses val="autoZero"/>
        <c:auto val="1"/>
        <c:lblAlgn val="ctr"/>
        <c:lblOffset val="100"/>
        <c:noMultiLvlLbl val="0"/>
      </c:catAx>
      <c:valAx>
        <c:axId val="55583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583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a5bac2-9869-4904-bbbe-596f575b89d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Метод К-средних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'Графики средних'!$A$33</c:f>
              <c:strCache>
                <c:ptCount val="1"/>
                <c:pt idx="0">
                  <c:v>кластер1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'Графики средних'!$B$32:$J$32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cat>
          <c:val>
            <c:numRef>
              <c:f>'Графики средних'!$B$33:$J$33</c:f>
              <c:numCache>
                <c:formatCode>General</c:formatCode>
                <c:ptCount val="9"/>
                <c:pt idx="0">
                  <c:v>-0.0648351113230198</c:v>
                </c:pt>
                <c:pt idx="1">
                  <c:v>-0.316919328948012</c:v>
                </c:pt>
                <c:pt idx="2">
                  <c:v>-0.375035862064103</c:v>
                </c:pt>
                <c:pt idx="3">
                  <c:v>-0.264908323493068</c:v>
                </c:pt>
                <c:pt idx="4">
                  <c:v>-0.155037688177248</c:v>
                </c:pt>
                <c:pt idx="5">
                  <c:v>0.318559973412818</c:v>
                </c:pt>
                <c:pt idx="6">
                  <c:v>-0.12155979752076</c:v>
                </c:pt>
                <c:pt idx="7">
                  <c:v>-0.252894930032768</c:v>
                </c:pt>
                <c:pt idx="8">
                  <c:v>-0.580631839165203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'Графики средних'!$A$34</c:f>
              <c:strCache>
                <c:ptCount val="1"/>
                <c:pt idx="0">
                  <c:v>кластер2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'Графики средних'!$B$32:$J$32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cat>
          <c:val>
            <c:numRef>
              <c:f>'Графики средних'!$B$34:$J$34</c:f>
              <c:numCache>
                <c:formatCode>General</c:formatCode>
                <c:ptCount val="9"/>
                <c:pt idx="0">
                  <c:v>0.08815439674173</c:v>
                </c:pt>
                <c:pt idx="1">
                  <c:v>0.335050556701749</c:v>
                </c:pt>
                <c:pt idx="2">
                  <c:v>1.21540670498214</c:v>
                </c:pt>
                <c:pt idx="3">
                  <c:v>-0.0800989615667746</c:v>
                </c:pt>
                <c:pt idx="4">
                  <c:v>-0.14781439453778</c:v>
                </c:pt>
                <c:pt idx="5">
                  <c:v>-0.482372173527814</c:v>
                </c:pt>
                <c:pt idx="6">
                  <c:v>0.0640952714092849</c:v>
                </c:pt>
                <c:pt idx="7">
                  <c:v>-0.200533754364194</c:v>
                </c:pt>
                <c:pt idx="8">
                  <c:v>-0.0771372182939475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'Графики средних'!$A$35</c:f>
              <c:strCache>
                <c:ptCount val="1"/>
                <c:pt idx="0">
                  <c:v>кластер3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'Графики средних'!$B$32:$J$32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cat>
          <c:val>
            <c:numRef>
              <c:f>'Графики средних'!$B$35:$J$35</c:f>
              <c:numCache>
                <c:formatCode>General</c:formatCode>
                <c:ptCount val="9"/>
                <c:pt idx="0">
                  <c:v>-2.06204608724609</c:v>
                </c:pt>
                <c:pt idx="1">
                  <c:v>-1.14683998624124</c:v>
                </c:pt>
                <c:pt idx="2">
                  <c:v>-1.16891533604033</c:v>
                </c:pt>
                <c:pt idx="3">
                  <c:v>2.15481836621577</c:v>
                </c:pt>
                <c:pt idx="4">
                  <c:v>-0.413415616396353</c:v>
                </c:pt>
                <c:pt idx="5">
                  <c:v>1.438245064542</c:v>
                </c:pt>
                <c:pt idx="6">
                  <c:v>-1.17325131774559</c:v>
                </c:pt>
                <c:pt idx="7">
                  <c:v>-0.0606420896857467</c:v>
                </c:pt>
                <c:pt idx="8">
                  <c:v>-0.771725544619574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'Графики средних'!$A$36</c:f>
              <c:strCache>
                <c:ptCount val="1"/>
                <c:pt idx="0">
                  <c:v>кластер4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'Графики средних'!$B$32:$J$32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cat>
          <c:val>
            <c:numRef>
              <c:f>'Графики средних'!$B$36:$J$36</c:f>
              <c:numCache>
                <c:formatCode>General</c:formatCode>
                <c:ptCount val="9"/>
                <c:pt idx="0">
                  <c:v>-0.139700721046331</c:v>
                </c:pt>
                <c:pt idx="1">
                  <c:v>-0.370738605690386</c:v>
                </c:pt>
                <c:pt idx="2">
                  <c:v>-0.183523490515148</c:v>
                </c:pt>
                <c:pt idx="3">
                  <c:v>-0.204338728349498</c:v>
                </c:pt>
                <c:pt idx="4">
                  <c:v>-0.251144194299469</c:v>
                </c:pt>
                <c:pt idx="5">
                  <c:v>-0.213999715867308</c:v>
                </c:pt>
                <c:pt idx="6">
                  <c:v>-0.419766397197573</c:v>
                </c:pt>
                <c:pt idx="7">
                  <c:v>-0.185333976516249</c:v>
                </c:pt>
                <c:pt idx="8">
                  <c:v>1.28562797214716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'Графики средних'!$A$37</c:f>
              <c:strCache>
                <c:ptCount val="1"/>
                <c:pt idx="0">
                  <c:v>кластер5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cat>
            <c:strRef>
              <c:f>'Графики средних'!$B$32:$J$32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cat>
          <c:val>
            <c:numRef>
              <c:f>'Графики средних'!$B$37:$J$37</c:f>
              <c:numCache>
                <c:formatCode>General</c:formatCode>
                <c:ptCount val="9"/>
                <c:pt idx="0">
                  <c:v>0.264820399805801</c:v>
                </c:pt>
                <c:pt idx="1">
                  <c:v>3.27359000475206</c:v>
                </c:pt>
                <c:pt idx="2">
                  <c:v>2.23098681451877</c:v>
                </c:pt>
                <c:pt idx="3">
                  <c:v>0.0140477099543747</c:v>
                </c:pt>
                <c:pt idx="4">
                  <c:v>-0.150591532054469</c:v>
                </c:pt>
                <c:pt idx="5">
                  <c:v>-0.855229560356542</c:v>
                </c:pt>
                <c:pt idx="6">
                  <c:v>1.07248997315095</c:v>
                </c:pt>
                <c:pt idx="7">
                  <c:v>6.14414110437242</c:v>
                </c:pt>
                <c:pt idx="8">
                  <c:v>1.1051418557355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'Графики средних'!$A$38</c:f>
              <c:strCache>
                <c:ptCount val="1"/>
                <c:pt idx="0">
                  <c:v>кластер6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cat>
            <c:strRef>
              <c:f>'Графики средних'!$B$32:$J$32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cat>
          <c:val>
            <c:numRef>
              <c:f>'Графики средних'!$B$38:$J$38</c:f>
              <c:numCache>
                <c:formatCode>General</c:formatCode>
                <c:ptCount val="9"/>
                <c:pt idx="0">
                  <c:v>1.32969546857445</c:v>
                </c:pt>
                <c:pt idx="1">
                  <c:v>1.54914228161866</c:v>
                </c:pt>
                <c:pt idx="2">
                  <c:v>0.258078040257248</c:v>
                </c:pt>
                <c:pt idx="3">
                  <c:v>-0.61880162349023</c:v>
                </c:pt>
                <c:pt idx="4">
                  <c:v>-0.0738178487869603</c:v>
                </c:pt>
                <c:pt idx="5">
                  <c:v>-0.39248981305864</c:v>
                </c:pt>
                <c:pt idx="6">
                  <c:v>1.87040922258762</c:v>
                </c:pt>
                <c:pt idx="7">
                  <c:v>0.104764297595305</c:v>
                </c:pt>
                <c:pt idx="8">
                  <c:v>-0.356487071556504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'Графики средних'!$A$39</c:f>
              <c:strCache>
                <c:ptCount val="1"/>
                <c:pt idx="0">
                  <c:v>кластер7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cat>
            <c:strRef>
              <c:f>'Графики средних'!$B$32:$J$32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cat>
          <c:val>
            <c:numRef>
              <c:f>'Графики средних'!$B$39:$J$39</c:f>
              <c:numCache>
                <c:formatCode>General</c:formatCode>
                <c:ptCount val="9"/>
                <c:pt idx="0">
                  <c:v>0.799250379194391</c:v>
                </c:pt>
                <c:pt idx="1">
                  <c:v>-0.426337222303024</c:v>
                </c:pt>
                <c:pt idx="2">
                  <c:v>-0.0595295048897571</c:v>
                </c:pt>
                <c:pt idx="3">
                  <c:v>0.736451194358122</c:v>
                </c:pt>
                <c:pt idx="4">
                  <c:v>3.02453812891485</c:v>
                </c:pt>
                <c:pt idx="5">
                  <c:v>-0.666752914425158</c:v>
                </c:pt>
                <c:pt idx="6">
                  <c:v>-0.393751160284765</c:v>
                </c:pt>
                <c:pt idx="7">
                  <c:v>0.110161354919169</c:v>
                </c:pt>
                <c:pt idx="8">
                  <c:v>0.0341683038494417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3351376"/>
        <c:axId val="873345552"/>
      </c:lineChart>
      <c:catAx>
        <c:axId val="87335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3345552"/>
        <c:crosses val="autoZero"/>
        <c:auto val="1"/>
        <c:lblAlgn val="ctr"/>
        <c:lblOffset val="100"/>
        <c:noMultiLvlLbl val="0"/>
      </c:catAx>
      <c:valAx>
        <c:axId val="87334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335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5f38dc9-6775-4b66-9c7e-ba9debf10a5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'Графики средних'!$A$42</c:f>
              <c:strCache>
                <c:ptCount val="1"/>
                <c:pt idx="0">
                  <c:v>кластер1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strRef>
              <c:f>'Графики средних'!$B$41:$J$41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xVal>
          <c:yVal>
            <c:numRef>
              <c:f>'Графики средних'!$B$42:$J$42</c:f>
              <c:numCache>
                <c:formatCode>General</c:formatCode>
                <c:ptCount val="9"/>
                <c:pt idx="0">
                  <c:v>-0.13973</c:v>
                </c:pt>
                <c:pt idx="1">
                  <c:v>-0.29596</c:v>
                </c:pt>
                <c:pt idx="2">
                  <c:v>-0.15742</c:v>
                </c:pt>
                <c:pt idx="3">
                  <c:v>-0.433723</c:v>
                </c:pt>
                <c:pt idx="4">
                  <c:v>-0.094006</c:v>
                </c:pt>
                <c:pt idx="5">
                  <c:v>0.225342</c:v>
                </c:pt>
                <c:pt idx="6">
                  <c:v>-0.281491</c:v>
                </c:pt>
                <c:pt idx="7">
                  <c:v>-0.280779</c:v>
                </c:pt>
                <c:pt idx="8">
                  <c:v>-0.38762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'Графики средних'!$A$43</c:f>
              <c:strCache>
                <c:ptCount val="1"/>
                <c:pt idx="0">
                  <c:v>кластер2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strRef>
              <c:f>'Графики средних'!$B$41:$J$41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xVal>
          <c:yVal>
            <c:numRef>
              <c:f>'Графики средних'!$B$43:$J$43</c:f>
              <c:numCache>
                <c:formatCode>General</c:formatCode>
                <c:ptCount val="9"/>
                <c:pt idx="0">
                  <c:v>0.0535</c:v>
                </c:pt>
                <c:pt idx="1">
                  <c:v>-0.18818</c:v>
                </c:pt>
                <c:pt idx="2">
                  <c:v>0.95501</c:v>
                </c:pt>
                <c:pt idx="3">
                  <c:v>-0.217301</c:v>
                </c:pt>
                <c:pt idx="4">
                  <c:v>-0.488042</c:v>
                </c:pt>
                <c:pt idx="5">
                  <c:v>-0.48546</c:v>
                </c:pt>
                <c:pt idx="6">
                  <c:v>-0.149587</c:v>
                </c:pt>
                <c:pt idx="7">
                  <c:v>-0.235855</c:v>
                </c:pt>
                <c:pt idx="8">
                  <c:v>-0.30463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'Графики средних'!$A$44</c:f>
              <c:strCache>
                <c:ptCount val="1"/>
                <c:pt idx="0">
                  <c:v>кластер3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strRef>
              <c:f>'Графики средних'!$B$41:$J$41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xVal>
          <c:yVal>
            <c:numRef>
              <c:f>'Графики средних'!$B$44:$J$44</c:f>
              <c:numCache>
                <c:formatCode>General</c:formatCode>
                <c:ptCount val="9"/>
                <c:pt idx="0">
                  <c:v>-2.69289</c:v>
                </c:pt>
                <c:pt idx="1">
                  <c:v>-1.23561</c:v>
                </c:pt>
                <c:pt idx="2">
                  <c:v>-1.37657</c:v>
                </c:pt>
                <c:pt idx="3">
                  <c:v>1.775279</c:v>
                </c:pt>
                <c:pt idx="4">
                  <c:v>-0.622875</c:v>
                </c:pt>
                <c:pt idx="5">
                  <c:v>1.764849</c:v>
                </c:pt>
                <c:pt idx="6">
                  <c:v>-0.595454</c:v>
                </c:pt>
                <c:pt idx="7">
                  <c:v>-0.32465</c:v>
                </c:pt>
                <c:pt idx="8">
                  <c:v>-1.2169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'Графики средних'!$A$45</c:f>
              <c:strCache>
                <c:ptCount val="1"/>
                <c:pt idx="0">
                  <c:v>кластер4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strRef>
              <c:f>'Графики средних'!$B$41:$J$41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xVal>
          <c:yVal>
            <c:numRef>
              <c:f>'Графики средних'!$B$45:$J$45</c:f>
              <c:numCache>
                <c:formatCode>General</c:formatCode>
                <c:ptCount val="9"/>
                <c:pt idx="0">
                  <c:v>-0.14471</c:v>
                </c:pt>
                <c:pt idx="1">
                  <c:v>-0.37793</c:v>
                </c:pt>
                <c:pt idx="2">
                  <c:v>-0.30248</c:v>
                </c:pt>
                <c:pt idx="3">
                  <c:v>-0.388946</c:v>
                </c:pt>
                <c:pt idx="4">
                  <c:v>-0.340438</c:v>
                </c:pt>
                <c:pt idx="5">
                  <c:v>-0.28825</c:v>
                </c:pt>
                <c:pt idx="6">
                  <c:v>-0.32268</c:v>
                </c:pt>
                <c:pt idx="7">
                  <c:v>-0.203616</c:v>
                </c:pt>
                <c:pt idx="8">
                  <c:v>1.25862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'Графики средних'!$A$46</c:f>
              <c:strCache>
                <c:ptCount val="1"/>
                <c:pt idx="0">
                  <c:v>кластер5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strRef>
              <c:f>'Графики средних'!$B$41:$J$41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xVal>
          <c:yVal>
            <c:numRef>
              <c:f>'Графики средних'!$B$46:$J$46</c:f>
              <c:numCache>
                <c:formatCode>General</c:formatCode>
                <c:ptCount val="9"/>
                <c:pt idx="0">
                  <c:v>0.26482</c:v>
                </c:pt>
                <c:pt idx="1">
                  <c:v>3.27359</c:v>
                </c:pt>
                <c:pt idx="2">
                  <c:v>2.23099</c:v>
                </c:pt>
                <c:pt idx="3">
                  <c:v>0.014048</c:v>
                </c:pt>
                <c:pt idx="4">
                  <c:v>-0.150592</c:v>
                </c:pt>
                <c:pt idx="5">
                  <c:v>-0.85523</c:v>
                </c:pt>
                <c:pt idx="6">
                  <c:v>1.07249</c:v>
                </c:pt>
                <c:pt idx="7">
                  <c:v>6.144141</c:v>
                </c:pt>
                <c:pt idx="8">
                  <c:v>1.10514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'Графики средних'!$A$47</c:f>
              <c:strCache>
                <c:ptCount val="1"/>
                <c:pt idx="0">
                  <c:v>кластер6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strRef>
              <c:f>'Графики средних'!$B$41:$J$41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xVal>
          <c:yVal>
            <c:numRef>
              <c:f>'Графики средних'!$B$47:$J$47</c:f>
              <c:numCache>
                <c:formatCode>General</c:formatCode>
                <c:ptCount val="9"/>
                <c:pt idx="0">
                  <c:v>1.23823</c:v>
                </c:pt>
                <c:pt idx="1">
                  <c:v>0.87792</c:v>
                </c:pt>
                <c:pt idx="2">
                  <c:v>-0.0186</c:v>
                </c:pt>
                <c:pt idx="3">
                  <c:v>-0.483475</c:v>
                </c:pt>
                <c:pt idx="4">
                  <c:v>-0.593895</c:v>
                </c:pt>
                <c:pt idx="5">
                  <c:v>-0.735495</c:v>
                </c:pt>
                <c:pt idx="6">
                  <c:v>1.322892</c:v>
                </c:pt>
                <c:pt idx="7">
                  <c:v>-0.176539</c:v>
                </c:pt>
                <c:pt idx="8">
                  <c:v>-0.48318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'Графики средних'!$A$48</c:f>
              <c:strCache>
                <c:ptCount val="1"/>
                <c:pt idx="0">
                  <c:v>кластер7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strRef>
              <c:f>'Графики средних'!$B$41:$J$41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xVal>
          <c:yVal>
            <c:numRef>
              <c:f>'Графики средних'!$B$48:$J$48</c:f>
              <c:numCache>
                <c:formatCode>General</c:formatCode>
                <c:ptCount val="9"/>
                <c:pt idx="0">
                  <c:v>0.57563</c:v>
                </c:pt>
                <c:pt idx="1">
                  <c:v>-0.28476</c:v>
                </c:pt>
                <c:pt idx="2">
                  <c:v>0.1223</c:v>
                </c:pt>
                <c:pt idx="3">
                  <c:v>0.70063</c:v>
                </c:pt>
                <c:pt idx="4">
                  <c:v>2.555644</c:v>
                </c:pt>
                <c:pt idx="5">
                  <c:v>-0.87002</c:v>
                </c:pt>
                <c:pt idx="6">
                  <c:v>-0.189897</c:v>
                </c:pt>
                <c:pt idx="7">
                  <c:v>-0.187982</c:v>
                </c:pt>
                <c:pt idx="8">
                  <c:v>-0.47462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474511"/>
        <c:axId val="351252842"/>
      </c:scatterChart>
      <c:valAx>
        <c:axId val="53447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1252842"/>
        <c:crosses val="autoZero"/>
        <c:crossBetween val="midCat"/>
      </c:valAx>
      <c:valAx>
        <c:axId val="35125284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474511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c06ff45-f76f-4671-9f29-726c510a8fc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Уорд</a:t>
            </a:r>
            <a:endParaRPr lang="ru-RU"/>
          </a:p>
        </c:rich>
      </c:tx>
      <c:layout>
        <c:manualLayout>
          <c:xMode val="edge"/>
          <c:yMode val="edge"/>
          <c:x val="0.489645070422535"/>
          <c:y val="0.054545454545454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Визуализация!$B$89:$B$103</c:f>
              <c:numCache>
                <c:formatCode>General</c:formatCode>
                <c:ptCount val="15"/>
                <c:pt idx="0">
                  <c:v>0.24728</c:v>
                </c:pt>
                <c:pt idx="1">
                  <c:v>0.0874</c:v>
                </c:pt>
                <c:pt idx="2">
                  <c:v>-0.00942</c:v>
                </c:pt>
                <c:pt idx="3">
                  <c:v>0.0659</c:v>
                </c:pt>
                <c:pt idx="4">
                  <c:v>0.17991</c:v>
                </c:pt>
                <c:pt idx="5">
                  <c:v>6e-5</c:v>
                </c:pt>
                <c:pt idx="6">
                  <c:v>0.18228</c:v>
                </c:pt>
                <c:pt idx="7">
                  <c:v>-0.01495</c:v>
                </c:pt>
                <c:pt idx="8">
                  <c:v>0.29187</c:v>
                </c:pt>
                <c:pt idx="9">
                  <c:v>0.06339</c:v>
                </c:pt>
                <c:pt idx="10">
                  <c:v>0.1312</c:v>
                </c:pt>
                <c:pt idx="11">
                  <c:v>-0.00787</c:v>
                </c:pt>
                <c:pt idx="12">
                  <c:v>0.01642</c:v>
                </c:pt>
                <c:pt idx="13">
                  <c:v>0.24085</c:v>
                </c:pt>
                <c:pt idx="14">
                  <c:v>-0.03289</c:v>
                </c:pt>
              </c:numCache>
            </c:numRef>
          </c:xVal>
          <c:yVal>
            <c:numRef>
              <c:f>Визуализация!$C$89:$C$103</c:f>
              <c:numCache>
                <c:formatCode>General</c:formatCode>
                <c:ptCount val="15"/>
                <c:pt idx="0">
                  <c:v>0.15524</c:v>
                </c:pt>
                <c:pt idx="1">
                  <c:v>-0.2276</c:v>
                </c:pt>
                <c:pt idx="2">
                  <c:v>0.13009</c:v>
                </c:pt>
                <c:pt idx="3">
                  <c:v>-0.01235</c:v>
                </c:pt>
                <c:pt idx="4">
                  <c:v>-0.07034</c:v>
                </c:pt>
                <c:pt idx="5">
                  <c:v>0.12006</c:v>
                </c:pt>
                <c:pt idx="6">
                  <c:v>-0.31958</c:v>
                </c:pt>
                <c:pt idx="7">
                  <c:v>0.76751</c:v>
                </c:pt>
                <c:pt idx="8">
                  <c:v>-0.16302</c:v>
                </c:pt>
                <c:pt idx="9">
                  <c:v>-0.13168</c:v>
                </c:pt>
                <c:pt idx="10">
                  <c:v>0.32661</c:v>
                </c:pt>
                <c:pt idx="11">
                  <c:v>-0.09799</c:v>
                </c:pt>
                <c:pt idx="12">
                  <c:v>0.12266</c:v>
                </c:pt>
                <c:pt idx="13">
                  <c:v>-0.13971</c:v>
                </c:pt>
                <c:pt idx="14">
                  <c:v>-0.13615</c:v>
                </c:pt>
              </c:numCache>
            </c:numRef>
          </c:yVal>
          <c:smooth val="0"/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Визуализация!$B$104:$B$118</c:f>
              <c:numCache>
                <c:formatCode>General</c:formatCode>
                <c:ptCount val="15"/>
                <c:pt idx="0">
                  <c:v>-0.71155</c:v>
                </c:pt>
                <c:pt idx="1">
                  <c:v>-0.42286</c:v>
                </c:pt>
                <c:pt idx="2">
                  <c:v>-0.88603</c:v>
                </c:pt>
                <c:pt idx="3">
                  <c:v>-0.28975</c:v>
                </c:pt>
                <c:pt idx="4">
                  <c:v>-0.35122</c:v>
                </c:pt>
                <c:pt idx="5">
                  <c:v>-0.99826</c:v>
                </c:pt>
                <c:pt idx="6">
                  <c:v>-0.35773</c:v>
                </c:pt>
                <c:pt idx="7">
                  <c:v>-0.49331</c:v>
                </c:pt>
                <c:pt idx="8">
                  <c:v>-0.62304</c:v>
                </c:pt>
                <c:pt idx="9">
                  <c:v>-0.84027</c:v>
                </c:pt>
                <c:pt idx="10">
                  <c:v>-0.7247</c:v>
                </c:pt>
                <c:pt idx="11">
                  <c:v>-0.35801</c:v>
                </c:pt>
                <c:pt idx="12">
                  <c:v>-0.30691</c:v>
                </c:pt>
                <c:pt idx="13">
                  <c:v>-0.46047</c:v>
                </c:pt>
                <c:pt idx="14">
                  <c:v>-0.51143</c:v>
                </c:pt>
              </c:numCache>
            </c:numRef>
          </c:xVal>
          <c:yVal>
            <c:numRef>
              <c:f>Визуализация!$C$104:$C$118</c:f>
              <c:numCache>
                <c:formatCode>General</c:formatCode>
                <c:ptCount val="15"/>
                <c:pt idx="0">
                  <c:v>0.04557</c:v>
                </c:pt>
                <c:pt idx="1">
                  <c:v>0.0498</c:v>
                </c:pt>
                <c:pt idx="2">
                  <c:v>0.11569</c:v>
                </c:pt>
                <c:pt idx="3">
                  <c:v>-0.12187</c:v>
                </c:pt>
                <c:pt idx="4">
                  <c:v>-0.00894</c:v>
                </c:pt>
                <c:pt idx="5">
                  <c:v>0.35592</c:v>
                </c:pt>
                <c:pt idx="6">
                  <c:v>0.258</c:v>
                </c:pt>
                <c:pt idx="7">
                  <c:v>0.24087</c:v>
                </c:pt>
                <c:pt idx="8">
                  <c:v>0.38744</c:v>
                </c:pt>
                <c:pt idx="9">
                  <c:v>0.02406</c:v>
                </c:pt>
                <c:pt idx="10">
                  <c:v>-0.09349</c:v>
                </c:pt>
                <c:pt idx="11">
                  <c:v>-0.00063</c:v>
                </c:pt>
                <c:pt idx="12">
                  <c:v>0.11362</c:v>
                </c:pt>
                <c:pt idx="13">
                  <c:v>-0.16881</c:v>
                </c:pt>
                <c:pt idx="14">
                  <c:v>0.47232</c:v>
                </c:pt>
              </c:numCache>
            </c:numRef>
          </c:yVal>
          <c:smooth val="0"/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Визуализация!$B$119:$B$120</c:f>
              <c:numCache>
                <c:formatCode>General</c:formatCode>
                <c:ptCount val="2"/>
                <c:pt idx="0">
                  <c:v>1.92599</c:v>
                </c:pt>
                <c:pt idx="1">
                  <c:v>3.40207</c:v>
                </c:pt>
              </c:numCache>
            </c:numRef>
          </c:xVal>
          <c:yVal>
            <c:numRef>
              <c:f>Визуализация!$C$119:$C$120</c:f>
              <c:numCache>
                <c:formatCode>General</c:formatCode>
                <c:ptCount val="2"/>
                <c:pt idx="0">
                  <c:v>5.20752</c:v>
                </c:pt>
                <c:pt idx="1">
                  <c:v>4.09766</c:v>
                </c:pt>
              </c:numCache>
            </c:numRef>
          </c:yVal>
          <c:smooth val="0"/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Визуализация!$B$121:$B$128</c:f>
              <c:numCache>
                <c:formatCode>General</c:formatCode>
                <c:ptCount val="8"/>
                <c:pt idx="0">
                  <c:v>1.00922</c:v>
                </c:pt>
                <c:pt idx="1">
                  <c:v>1.79355</c:v>
                </c:pt>
                <c:pt idx="2">
                  <c:v>1.34158</c:v>
                </c:pt>
                <c:pt idx="3">
                  <c:v>1.41989</c:v>
                </c:pt>
                <c:pt idx="4">
                  <c:v>0.64645</c:v>
                </c:pt>
                <c:pt idx="5">
                  <c:v>0.77969</c:v>
                </c:pt>
                <c:pt idx="6">
                  <c:v>0.93103</c:v>
                </c:pt>
                <c:pt idx="7">
                  <c:v>1.92839</c:v>
                </c:pt>
              </c:numCache>
            </c:numRef>
          </c:xVal>
          <c:yVal>
            <c:numRef>
              <c:f>Визуализация!$C$121:$C$128</c:f>
              <c:numCache>
                <c:formatCode>General</c:formatCode>
                <c:ptCount val="8"/>
                <c:pt idx="0">
                  <c:v>0.26199</c:v>
                </c:pt>
                <c:pt idx="1">
                  <c:v>0.64091</c:v>
                </c:pt>
                <c:pt idx="2">
                  <c:v>-0.0008</c:v>
                </c:pt>
                <c:pt idx="3">
                  <c:v>0.95637</c:v>
                </c:pt>
                <c:pt idx="4">
                  <c:v>1.04735</c:v>
                </c:pt>
                <c:pt idx="5">
                  <c:v>0.86121</c:v>
                </c:pt>
                <c:pt idx="6">
                  <c:v>0.11724</c:v>
                </c:pt>
                <c:pt idx="7">
                  <c:v>0.64555</c:v>
                </c:pt>
              </c:numCache>
            </c:numRef>
          </c:yVal>
          <c:smooth val="0"/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Визуализация!$B$129:$B$136</c:f>
              <c:numCache>
                <c:formatCode>General</c:formatCode>
                <c:ptCount val="8"/>
                <c:pt idx="0">
                  <c:v>0.87372</c:v>
                </c:pt>
                <c:pt idx="1">
                  <c:v>0.62051</c:v>
                </c:pt>
                <c:pt idx="2">
                  <c:v>0.76503</c:v>
                </c:pt>
                <c:pt idx="3">
                  <c:v>2.21276</c:v>
                </c:pt>
                <c:pt idx="4">
                  <c:v>0.73992</c:v>
                </c:pt>
                <c:pt idx="5">
                  <c:v>1.42973</c:v>
                </c:pt>
                <c:pt idx="6">
                  <c:v>1.66312</c:v>
                </c:pt>
                <c:pt idx="7">
                  <c:v>0.76369</c:v>
                </c:pt>
              </c:numCache>
            </c:numRef>
          </c:xVal>
          <c:yVal>
            <c:numRef>
              <c:f>Визуализация!$C$129:$C$136</c:f>
              <c:numCache>
                <c:formatCode>General</c:formatCode>
                <c:ptCount val="8"/>
                <c:pt idx="0">
                  <c:v>-0.73676</c:v>
                </c:pt>
                <c:pt idx="1">
                  <c:v>-1.33405</c:v>
                </c:pt>
                <c:pt idx="2">
                  <c:v>-1.33144</c:v>
                </c:pt>
                <c:pt idx="3">
                  <c:v>-0.65409</c:v>
                </c:pt>
                <c:pt idx="4">
                  <c:v>-1.05497</c:v>
                </c:pt>
                <c:pt idx="5">
                  <c:v>-1.10317</c:v>
                </c:pt>
                <c:pt idx="6">
                  <c:v>-0.68806</c:v>
                </c:pt>
                <c:pt idx="7">
                  <c:v>-0.78897</c:v>
                </c:pt>
              </c:numCache>
            </c:numRef>
          </c:yVal>
          <c:smooth val="0"/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Визуализация!$B$137:$B$165</c:f>
              <c:numCache>
                <c:formatCode>General</c:formatCode>
                <c:ptCount val="29"/>
                <c:pt idx="0">
                  <c:v>-0.03038</c:v>
                </c:pt>
                <c:pt idx="1">
                  <c:v>-0.27567</c:v>
                </c:pt>
                <c:pt idx="2">
                  <c:v>-0.38295</c:v>
                </c:pt>
                <c:pt idx="3">
                  <c:v>-0.1484</c:v>
                </c:pt>
                <c:pt idx="4">
                  <c:v>0.01285</c:v>
                </c:pt>
                <c:pt idx="5">
                  <c:v>0.1995</c:v>
                </c:pt>
                <c:pt idx="6">
                  <c:v>0.00058</c:v>
                </c:pt>
                <c:pt idx="7">
                  <c:v>0.12219</c:v>
                </c:pt>
                <c:pt idx="8">
                  <c:v>0.22793</c:v>
                </c:pt>
                <c:pt idx="9">
                  <c:v>-0.37179</c:v>
                </c:pt>
                <c:pt idx="10">
                  <c:v>-0.19344</c:v>
                </c:pt>
                <c:pt idx="11">
                  <c:v>-0.08775</c:v>
                </c:pt>
                <c:pt idx="12">
                  <c:v>0.11755</c:v>
                </c:pt>
                <c:pt idx="13">
                  <c:v>0.04683</c:v>
                </c:pt>
                <c:pt idx="14">
                  <c:v>0.00436</c:v>
                </c:pt>
                <c:pt idx="15">
                  <c:v>-0.5859</c:v>
                </c:pt>
                <c:pt idx="16">
                  <c:v>-0.24537</c:v>
                </c:pt>
                <c:pt idx="17">
                  <c:v>-0.12972</c:v>
                </c:pt>
                <c:pt idx="18">
                  <c:v>-0.09056</c:v>
                </c:pt>
                <c:pt idx="19">
                  <c:v>-0.27851</c:v>
                </c:pt>
                <c:pt idx="20">
                  <c:v>-0.18989</c:v>
                </c:pt>
                <c:pt idx="21">
                  <c:v>-0.39689</c:v>
                </c:pt>
                <c:pt idx="22">
                  <c:v>0.5415</c:v>
                </c:pt>
                <c:pt idx="23">
                  <c:v>-0.72702</c:v>
                </c:pt>
                <c:pt idx="24">
                  <c:v>-0.01757</c:v>
                </c:pt>
                <c:pt idx="25">
                  <c:v>-0.16539</c:v>
                </c:pt>
                <c:pt idx="26">
                  <c:v>0.38304</c:v>
                </c:pt>
                <c:pt idx="27">
                  <c:v>-0.11135</c:v>
                </c:pt>
                <c:pt idx="28">
                  <c:v>0.30609</c:v>
                </c:pt>
              </c:numCache>
            </c:numRef>
          </c:xVal>
          <c:yVal>
            <c:numRef>
              <c:f>Визуализация!$C$137:$C$165</c:f>
              <c:numCache>
                <c:formatCode>General</c:formatCode>
                <c:ptCount val="29"/>
                <c:pt idx="0">
                  <c:v>-0.40819</c:v>
                </c:pt>
                <c:pt idx="1">
                  <c:v>-0.30688</c:v>
                </c:pt>
                <c:pt idx="2">
                  <c:v>-0.75013</c:v>
                </c:pt>
                <c:pt idx="3">
                  <c:v>-0.65796</c:v>
                </c:pt>
                <c:pt idx="4">
                  <c:v>-0.60808</c:v>
                </c:pt>
                <c:pt idx="5">
                  <c:v>-0.9615</c:v>
                </c:pt>
                <c:pt idx="6">
                  <c:v>-0.38462</c:v>
                </c:pt>
                <c:pt idx="7">
                  <c:v>-1.17465</c:v>
                </c:pt>
                <c:pt idx="8">
                  <c:v>-0.66235</c:v>
                </c:pt>
                <c:pt idx="9">
                  <c:v>-0.76622</c:v>
                </c:pt>
                <c:pt idx="10">
                  <c:v>-0.42577</c:v>
                </c:pt>
                <c:pt idx="11">
                  <c:v>-0.66854</c:v>
                </c:pt>
                <c:pt idx="12">
                  <c:v>-0.74204</c:v>
                </c:pt>
                <c:pt idx="13">
                  <c:v>-0.7824</c:v>
                </c:pt>
                <c:pt idx="14">
                  <c:v>-0.44791</c:v>
                </c:pt>
                <c:pt idx="15">
                  <c:v>-0.99856</c:v>
                </c:pt>
                <c:pt idx="16">
                  <c:v>-0.44979</c:v>
                </c:pt>
                <c:pt idx="17">
                  <c:v>-0.4446</c:v>
                </c:pt>
                <c:pt idx="18">
                  <c:v>-0.37447</c:v>
                </c:pt>
                <c:pt idx="19">
                  <c:v>-0.34159</c:v>
                </c:pt>
                <c:pt idx="20">
                  <c:v>-0.20383</c:v>
                </c:pt>
                <c:pt idx="21">
                  <c:v>-0.437</c:v>
                </c:pt>
                <c:pt idx="22">
                  <c:v>-0.66805</c:v>
                </c:pt>
                <c:pt idx="23">
                  <c:v>-0.64157</c:v>
                </c:pt>
                <c:pt idx="24">
                  <c:v>-0.41131</c:v>
                </c:pt>
                <c:pt idx="25">
                  <c:v>-0.58329</c:v>
                </c:pt>
                <c:pt idx="26">
                  <c:v>-0.60578</c:v>
                </c:pt>
                <c:pt idx="27">
                  <c:v>-0.25867</c:v>
                </c:pt>
                <c:pt idx="28">
                  <c:v>-0.71163</c:v>
                </c:pt>
              </c:numCache>
            </c:numRef>
          </c:yVal>
          <c:smooth val="0"/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Визуализация!$B$166:$B$173</c:f>
              <c:numCache>
                <c:formatCode>General</c:formatCode>
                <c:ptCount val="8"/>
                <c:pt idx="0">
                  <c:v>-1.71247</c:v>
                </c:pt>
                <c:pt idx="1">
                  <c:v>-1.45717</c:v>
                </c:pt>
                <c:pt idx="2">
                  <c:v>-1.9956</c:v>
                </c:pt>
                <c:pt idx="3">
                  <c:v>-3.97922</c:v>
                </c:pt>
                <c:pt idx="4">
                  <c:v>-1.22607</c:v>
                </c:pt>
                <c:pt idx="5">
                  <c:v>-1.37514</c:v>
                </c:pt>
                <c:pt idx="6">
                  <c:v>-0.77461</c:v>
                </c:pt>
                <c:pt idx="7">
                  <c:v>-2.36579</c:v>
                </c:pt>
              </c:numCache>
            </c:numRef>
          </c:xVal>
          <c:yVal>
            <c:numRef>
              <c:f>Визуализация!$C$166:$C$173</c:f>
              <c:numCache>
                <c:formatCode>General</c:formatCode>
                <c:ptCount val="8"/>
                <c:pt idx="0">
                  <c:v>0.15467</c:v>
                </c:pt>
                <c:pt idx="1">
                  <c:v>0.73408</c:v>
                </c:pt>
                <c:pt idx="2">
                  <c:v>0.94367</c:v>
                </c:pt>
                <c:pt idx="3">
                  <c:v>3.26655</c:v>
                </c:pt>
                <c:pt idx="4">
                  <c:v>1.04421</c:v>
                </c:pt>
                <c:pt idx="5">
                  <c:v>0.84234</c:v>
                </c:pt>
                <c:pt idx="6">
                  <c:v>0.89102</c:v>
                </c:pt>
                <c:pt idx="7">
                  <c:v>0.86405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955519"/>
        <c:axId val="1922953855"/>
      </c:scatterChart>
      <c:valAx>
        <c:axId val="1922955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22953855"/>
        <c:crosses val="autoZero"/>
        <c:crossBetween val="midCat"/>
      </c:valAx>
      <c:valAx>
        <c:axId val="192295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229555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a60118d-02b3-4a66-b8c9-13fe6eef12b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К-средних</a:t>
            </a:r>
            <a:endParaRPr lang="ru-RU"/>
          </a:p>
        </c:rich>
      </c:tx>
      <c:layout>
        <c:manualLayout>
          <c:xMode val="edge"/>
          <c:yMode val="edge"/>
          <c:x val="0.46162486548903"/>
          <c:y val="0.065301229935376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Визуализация!$E$89:$E$102</c:f>
              <c:numCache>
                <c:formatCode>General</c:formatCode>
                <c:ptCount val="14"/>
                <c:pt idx="0">
                  <c:v>0.24728</c:v>
                </c:pt>
                <c:pt idx="1">
                  <c:v>-0.00942</c:v>
                </c:pt>
                <c:pt idx="2">
                  <c:v>0.0659</c:v>
                </c:pt>
                <c:pt idx="3">
                  <c:v>0.17991</c:v>
                </c:pt>
                <c:pt idx="4">
                  <c:v>6e-5</c:v>
                </c:pt>
                <c:pt idx="5">
                  <c:v>-0.01495</c:v>
                </c:pt>
                <c:pt idx="6">
                  <c:v>0.29187</c:v>
                </c:pt>
                <c:pt idx="7">
                  <c:v>0.06339</c:v>
                </c:pt>
                <c:pt idx="8">
                  <c:v>0.1312</c:v>
                </c:pt>
                <c:pt idx="9">
                  <c:v>-0.00787</c:v>
                </c:pt>
                <c:pt idx="10">
                  <c:v>0.01642</c:v>
                </c:pt>
                <c:pt idx="11">
                  <c:v>0.24085</c:v>
                </c:pt>
                <c:pt idx="12">
                  <c:v>0.64645</c:v>
                </c:pt>
                <c:pt idx="13">
                  <c:v>0.77969</c:v>
                </c:pt>
              </c:numCache>
            </c:numRef>
          </c:xVal>
          <c:yVal>
            <c:numRef>
              <c:f>Визуализация!$F$89:$F$102</c:f>
              <c:numCache>
                <c:formatCode>General</c:formatCode>
                <c:ptCount val="14"/>
                <c:pt idx="0">
                  <c:v>0.15524</c:v>
                </c:pt>
                <c:pt idx="1">
                  <c:v>0.13009</c:v>
                </c:pt>
                <c:pt idx="2">
                  <c:v>-0.01235</c:v>
                </c:pt>
                <c:pt idx="3">
                  <c:v>-0.07034</c:v>
                </c:pt>
                <c:pt idx="4">
                  <c:v>0.12006</c:v>
                </c:pt>
                <c:pt idx="5">
                  <c:v>0.76751</c:v>
                </c:pt>
                <c:pt idx="6">
                  <c:v>-0.16302</c:v>
                </c:pt>
                <c:pt idx="7">
                  <c:v>-0.13168</c:v>
                </c:pt>
                <c:pt idx="8">
                  <c:v>0.32661</c:v>
                </c:pt>
                <c:pt idx="9">
                  <c:v>-0.09799</c:v>
                </c:pt>
                <c:pt idx="10">
                  <c:v>0.12266</c:v>
                </c:pt>
                <c:pt idx="11">
                  <c:v>-0.13971</c:v>
                </c:pt>
                <c:pt idx="12">
                  <c:v>1.04735</c:v>
                </c:pt>
                <c:pt idx="13">
                  <c:v>0.86121</c:v>
                </c:pt>
              </c:numCache>
            </c:numRef>
          </c:yVal>
          <c:smooth val="0"/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Визуализация!$E$103:$E$104</c:f>
              <c:numCache>
                <c:formatCode>General</c:formatCode>
                <c:ptCount val="2"/>
                <c:pt idx="0">
                  <c:v>1.92599</c:v>
                </c:pt>
                <c:pt idx="1">
                  <c:v>3.40207</c:v>
                </c:pt>
              </c:numCache>
            </c:numRef>
          </c:xVal>
          <c:yVal>
            <c:numRef>
              <c:f>Визуализация!$F$103:$F$104</c:f>
              <c:numCache>
                <c:formatCode>General</c:formatCode>
                <c:ptCount val="2"/>
                <c:pt idx="0">
                  <c:v>5.20752</c:v>
                </c:pt>
                <c:pt idx="1">
                  <c:v>4.09766</c:v>
                </c:pt>
              </c:numCache>
            </c:numRef>
          </c:yVal>
          <c:smooth val="0"/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Визуализация!$E$105:$E$120</c:f>
              <c:numCache>
                <c:formatCode>General</c:formatCode>
                <c:ptCount val="16"/>
                <c:pt idx="0">
                  <c:v>-0.71155</c:v>
                </c:pt>
                <c:pt idx="1">
                  <c:v>-1.71247</c:v>
                </c:pt>
                <c:pt idx="2">
                  <c:v>-0.42286</c:v>
                </c:pt>
                <c:pt idx="3">
                  <c:v>-0.88603</c:v>
                </c:pt>
                <c:pt idx="4">
                  <c:v>-0.35122</c:v>
                </c:pt>
                <c:pt idx="5">
                  <c:v>-0.99826</c:v>
                </c:pt>
                <c:pt idx="6">
                  <c:v>-0.35773</c:v>
                </c:pt>
                <c:pt idx="7">
                  <c:v>-0.49331</c:v>
                </c:pt>
                <c:pt idx="8">
                  <c:v>-0.62304</c:v>
                </c:pt>
                <c:pt idx="9">
                  <c:v>-0.84027</c:v>
                </c:pt>
                <c:pt idx="10">
                  <c:v>-0.77461</c:v>
                </c:pt>
                <c:pt idx="11">
                  <c:v>-0.7247</c:v>
                </c:pt>
                <c:pt idx="12">
                  <c:v>-0.35801</c:v>
                </c:pt>
                <c:pt idx="13">
                  <c:v>-0.30691</c:v>
                </c:pt>
                <c:pt idx="14">
                  <c:v>-0.46047</c:v>
                </c:pt>
                <c:pt idx="15">
                  <c:v>-0.51143</c:v>
                </c:pt>
              </c:numCache>
            </c:numRef>
          </c:xVal>
          <c:yVal>
            <c:numRef>
              <c:f>Визуализация!$F$105:$F$120</c:f>
              <c:numCache>
                <c:formatCode>General</c:formatCode>
                <c:ptCount val="16"/>
                <c:pt idx="0">
                  <c:v>0.04557</c:v>
                </c:pt>
                <c:pt idx="1">
                  <c:v>0.15467</c:v>
                </c:pt>
                <c:pt idx="2">
                  <c:v>0.0498</c:v>
                </c:pt>
                <c:pt idx="3">
                  <c:v>0.11569</c:v>
                </c:pt>
                <c:pt idx="4">
                  <c:v>-0.00894</c:v>
                </c:pt>
                <c:pt idx="5">
                  <c:v>0.35592</c:v>
                </c:pt>
                <c:pt idx="6">
                  <c:v>0.258</c:v>
                </c:pt>
                <c:pt idx="7">
                  <c:v>0.24087</c:v>
                </c:pt>
                <c:pt idx="8">
                  <c:v>0.38744</c:v>
                </c:pt>
                <c:pt idx="9">
                  <c:v>0.02406</c:v>
                </c:pt>
                <c:pt idx="10">
                  <c:v>0.89102</c:v>
                </c:pt>
                <c:pt idx="11">
                  <c:v>-0.09349</c:v>
                </c:pt>
                <c:pt idx="12">
                  <c:v>-0.00063</c:v>
                </c:pt>
                <c:pt idx="13">
                  <c:v>0.11362</c:v>
                </c:pt>
                <c:pt idx="14">
                  <c:v>-0.16881</c:v>
                </c:pt>
                <c:pt idx="15">
                  <c:v>0.47232</c:v>
                </c:pt>
              </c:numCache>
            </c:numRef>
          </c:yVal>
          <c:smooth val="0"/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Визуализация!$E$121:$E$148</c:f>
              <c:numCache>
                <c:formatCode>General</c:formatCode>
                <c:ptCount val="28"/>
                <c:pt idx="0">
                  <c:v>-0.03038</c:v>
                </c:pt>
                <c:pt idx="1">
                  <c:v>-0.27567</c:v>
                </c:pt>
                <c:pt idx="2">
                  <c:v>-0.38295</c:v>
                </c:pt>
                <c:pt idx="3">
                  <c:v>-0.1484</c:v>
                </c:pt>
                <c:pt idx="4">
                  <c:v>0.01285</c:v>
                </c:pt>
                <c:pt idx="5">
                  <c:v>0.00058</c:v>
                </c:pt>
                <c:pt idx="6">
                  <c:v>0.22793</c:v>
                </c:pt>
                <c:pt idx="7">
                  <c:v>-0.37179</c:v>
                </c:pt>
                <c:pt idx="8">
                  <c:v>-0.19344</c:v>
                </c:pt>
                <c:pt idx="9">
                  <c:v>-0.08775</c:v>
                </c:pt>
                <c:pt idx="10">
                  <c:v>0.11755</c:v>
                </c:pt>
                <c:pt idx="11">
                  <c:v>0.04683</c:v>
                </c:pt>
                <c:pt idx="12">
                  <c:v>-0.28975</c:v>
                </c:pt>
                <c:pt idx="13">
                  <c:v>0.00436</c:v>
                </c:pt>
                <c:pt idx="14">
                  <c:v>0.0874</c:v>
                </c:pt>
                <c:pt idx="15">
                  <c:v>-0.5859</c:v>
                </c:pt>
                <c:pt idx="16">
                  <c:v>-0.24537</c:v>
                </c:pt>
                <c:pt idx="17">
                  <c:v>-0.12972</c:v>
                </c:pt>
                <c:pt idx="18">
                  <c:v>-0.09056</c:v>
                </c:pt>
                <c:pt idx="19">
                  <c:v>-0.27851</c:v>
                </c:pt>
                <c:pt idx="20">
                  <c:v>-0.18989</c:v>
                </c:pt>
                <c:pt idx="21">
                  <c:v>-0.39689</c:v>
                </c:pt>
                <c:pt idx="22">
                  <c:v>-0.72702</c:v>
                </c:pt>
                <c:pt idx="23">
                  <c:v>-0.01757</c:v>
                </c:pt>
                <c:pt idx="24">
                  <c:v>0.18228</c:v>
                </c:pt>
                <c:pt idx="25">
                  <c:v>-0.03289</c:v>
                </c:pt>
                <c:pt idx="26">
                  <c:v>-0.16539</c:v>
                </c:pt>
                <c:pt idx="27">
                  <c:v>-0.11135</c:v>
                </c:pt>
              </c:numCache>
            </c:numRef>
          </c:xVal>
          <c:yVal>
            <c:numRef>
              <c:f>Визуализация!$F$121:$F$148</c:f>
              <c:numCache>
                <c:formatCode>General</c:formatCode>
                <c:ptCount val="28"/>
                <c:pt idx="0">
                  <c:v>-0.40819</c:v>
                </c:pt>
                <c:pt idx="1">
                  <c:v>-0.30688</c:v>
                </c:pt>
                <c:pt idx="2">
                  <c:v>-0.75013</c:v>
                </c:pt>
                <c:pt idx="3">
                  <c:v>-0.65796</c:v>
                </c:pt>
                <c:pt idx="4">
                  <c:v>-0.60808</c:v>
                </c:pt>
                <c:pt idx="5">
                  <c:v>-0.38462</c:v>
                </c:pt>
                <c:pt idx="6">
                  <c:v>-0.66235</c:v>
                </c:pt>
                <c:pt idx="7">
                  <c:v>-0.76622</c:v>
                </c:pt>
                <c:pt idx="8">
                  <c:v>-0.42577</c:v>
                </c:pt>
                <c:pt idx="9">
                  <c:v>-0.66854</c:v>
                </c:pt>
                <c:pt idx="10">
                  <c:v>-0.74204</c:v>
                </c:pt>
                <c:pt idx="11">
                  <c:v>-0.7824</c:v>
                </c:pt>
                <c:pt idx="12">
                  <c:v>-0.12187</c:v>
                </c:pt>
                <c:pt idx="13">
                  <c:v>-0.44791</c:v>
                </c:pt>
                <c:pt idx="14">
                  <c:v>-0.2276</c:v>
                </c:pt>
                <c:pt idx="15">
                  <c:v>-0.99856</c:v>
                </c:pt>
                <c:pt idx="16">
                  <c:v>-0.44979</c:v>
                </c:pt>
                <c:pt idx="17">
                  <c:v>-0.4446</c:v>
                </c:pt>
                <c:pt idx="18">
                  <c:v>-0.37447</c:v>
                </c:pt>
                <c:pt idx="19">
                  <c:v>-0.34159</c:v>
                </c:pt>
                <c:pt idx="20">
                  <c:v>-0.20383</c:v>
                </c:pt>
                <c:pt idx="21">
                  <c:v>-0.437</c:v>
                </c:pt>
                <c:pt idx="22">
                  <c:v>-0.64157</c:v>
                </c:pt>
                <c:pt idx="23">
                  <c:v>-0.41131</c:v>
                </c:pt>
                <c:pt idx="24">
                  <c:v>-0.31958</c:v>
                </c:pt>
                <c:pt idx="25">
                  <c:v>-0.13615</c:v>
                </c:pt>
                <c:pt idx="26">
                  <c:v>-0.58329</c:v>
                </c:pt>
                <c:pt idx="27">
                  <c:v>-0.25867</c:v>
                </c:pt>
              </c:numCache>
            </c:numRef>
          </c:yVal>
          <c:smooth val="0"/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Визуализация!$E$149:$E$159</c:f>
              <c:numCache>
                <c:formatCode>General</c:formatCode>
                <c:ptCount val="11"/>
                <c:pt idx="0">
                  <c:v>0.87372</c:v>
                </c:pt>
                <c:pt idx="1">
                  <c:v>0.62051</c:v>
                </c:pt>
                <c:pt idx="2">
                  <c:v>0.76503</c:v>
                </c:pt>
                <c:pt idx="3">
                  <c:v>0.1995</c:v>
                </c:pt>
                <c:pt idx="4">
                  <c:v>0.12219</c:v>
                </c:pt>
                <c:pt idx="5">
                  <c:v>0.73992</c:v>
                </c:pt>
                <c:pt idx="6">
                  <c:v>1.42973</c:v>
                </c:pt>
                <c:pt idx="7">
                  <c:v>0.5415</c:v>
                </c:pt>
                <c:pt idx="8">
                  <c:v>0.38304</c:v>
                </c:pt>
                <c:pt idx="9">
                  <c:v>0.76369</c:v>
                </c:pt>
                <c:pt idx="10">
                  <c:v>0.30609</c:v>
                </c:pt>
              </c:numCache>
            </c:numRef>
          </c:xVal>
          <c:yVal>
            <c:numRef>
              <c:f>Визуализация!$F$149:$F$159</c:f>
              <c:numCache>
                <c:formatCode>General</c:formatCode>
                <c:ptCount val="11"/>
                <c:pt idx="0">
                  <c:v>-0.73676</c:v>
                </c:pt>
                <c:pt idx="1">
                  <c:v>-1.33405</c:v>
                </c:pt>
                <c:pt idx="2">
                  <c:v>-1.33144</c:v>
                </c:pt>
                <c:pt idx="3">
                  <c:v>-0.9615</c:v>
                </c:pt>
                <c:pt idx="4">
                  <c:v>-1.17465</c:v>
                </c:pt>
                <c:pt idx="5">
                  <c:v>-1.05497</c:v>
                </c:pt>
                <c:pt idx="6">
                  <c:v>-1.10317</c:v>
                </c:pt>
                <c:pt idx="7">
                  <c:v>-0.66805</c:v>
                </c:pt>
                <c:pt idx="8">
                  <c:v>-0.60578</c:v>
                </c:pt>
                <c:pt idx="9">
                  <c:v>-0.78897</c:v>
                </c:pt>
                <c:pt idx="10">
                  <c:v>-0.71163</c:v>
                </c:pt>
              </c:numCache>
            </c:numRef>
          </c:yVal>
          <c:smooth val="0"/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Визуализация!$E$160:$E$167</c:f>
              <c:numCache>
                <c:formatCode>General</c:formatCode>
                <c:ptCount val="8"/>
                <c:pt idx="0">
                  <c:v>1.00922</c:v>
                </c:pt>
                <c:pt idx="1">
                  <c:v>2.21276</c:v>
                </c:pt>
                <c:pt idx="2">
                  <c:v>1.79355</c:v>
                </c:pt>
                <c:pt idx="3">
                  <c:v>1.34158</c:v>
                </c:pt>
                <c:pt idx="4">
                  <c:v>1.41989</c:v>
                </c:pt>
                <c:pt idx="5">
                  <c:v>1.66312</c:v>
                </c:pt>
                <c:pt idx="6">
                  <c:v>0.93103</c:v>
                </c:pt>
                <c:pt idx="7">
                  <c:v>1.92839</c:v>
                </c:pt>
              </c:numCache>
            </c:numRef>
          </c:xVal>
          <c:yVal>
            <c:numRef>
              <c:f>Визуализация!$F$160:$F$167</c:f>
              <c:numCache>
                <c:formatCode>General</c:formatCode>
                <c:ptCount val="8"/>
                <c:pt idx="0">
                  <c:v>0.26199</c:v>
                </c:pt>
                <c:pt idx="1">
                  <c:v>-0.65409</c:v>
                </c:pt>
                <c:pt idx="2">
                  <c:v>0.64091</c:v>
                </c:pt>
                <c:pt idx="3">
                  <c:v>-0.0008</c:v>
                </c:pt>
                <c:pt idx="4">
                  <c:v>0.95637</c:v>
                </c:pt>
                <c:pt idx="5">
                  <c:v>-0.68806</c:v>
                </c:pt>
                <c:pt idx="6">
                  <c:v>0.11724</c:v>
                </c:pt>
                <c:pt idx="7">
                  <c:v>0.64555</c:v>
                </c:pt>
              </c:numCache>
            </c:numRef>
          </c:yVal>
          <c:smooth val="0"/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Визуализация!$E$168:$E$173</c:f>
              <c:numCache>
                <c:formatCode>General</c:formatCode>
                <c:ptCount val="6"/>
                <c:pt idx="0">
                  <c:v>-1.45717</c:v>
                </c:pt>
                <c:pt idx="1">
                  <c:v>-1.9956</c:v>
                </c:pt>
                <c:pt idx="2">
                  <c:v>-3.97922</c:v>
                </c:pt>
                <c:pt idx="3">
                  <c:v>-1.22607</c:v>
                </c:pt>
                <c:pt idx="4">
                  <c:v>-1.37514</c:v>
                </c:pt>
                <c:pt idx="5">
                  <c:v>-2.36579</c:v>
                </c:pt>
              </c:numCache>
            </c:numRef>
          </c:xVal>
          <c:yVal>
            <c:numRef>
              <c:f>Визуализация!$F$168:$F$173</c:f>
              <c:numCache>
                <c:formatCode>General</c:formatCode>
                <c:ptCount val="6"/>
                <c:pt idx="0">
                  <c:v>0.73408</c:v>
                </c:pt>
                <c:pt idx="1">
                  <c:v>0.94367</c:v>
                </c:pt>
                <c:pt idx="2">
                  <c:v>3.26655</c:v>
                </c:pt>
                <c:pt idx="3">
                  <c:v>1.04421</c:v>
                </c:pt>
                <c:pt idx="4">
                  <c:v>0.84234</c:v>
                </c:pt>
                <c:pt idx="5">
                  <c:v>0.86405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6671583"/>
        <c:axId val="1826676575"/>
      </c:scatterChart>
      <c:valAx>
        <c:axId val="1826671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26676575"/>
        <c:crosses val="autoZero"/>
        <c:crossBetween val="midCat"/>
      </c:valAx>
      <c:valAx>
        <c:axId val="182667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266715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c48d6de-3a3f-4dc8-b1f8-c3e6ac2c74e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старый</a:t>
            </a:r>
            <a:r>
              <a:rPr lang="ru-RU" baseline="0"/>
              <a:t> Уорд</a:t>
            </a:r>
            <a:endParaRPr lang="ru-RU"/>
          </a:p>
        </c:rich>
      </c:tx>
      <c:layout>
        <c:manualLayout>
          <c:xMode val="edge"/>
          <c:yMode val="edge"/>
          <c:x val="0.441806853582555"/>
          <c:y val="0.063985374771480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386292834890966"/>
          <c:y val="0.150822669104205"/>
          <c:w val="0.932897196261682"/>
          <c:h val="0.819926873857404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Визуализация!$H$89:$H$92</c:f>
              <c:numCache>
                <c:formatCode>General</c:formatCode>
                <c:ptCount val="4"/>
                <c:pt idx="0">
                  <c:v>0.76503</c:v>
                </c:pt>
                <c:pt idx="1">
                  <c:v>0.01285</c:v>
                </c:pt>
                <c:pt idx="2">
                  <c:v>-0.35773</c:v>
                </c:pt>
                <c:pt idx="3">
                  <c:v>0.30609</c:v>
                </c:pt>
              </c:numCache>
            </c:numRef>
          </c:xVal>
          <c:yVal>
            <c:numRef>
              <c:f>Визуализация!$I$89:$I$92</c:f>
              <c:numCache>
                <c:formatCode>General</c:formatCode>
                <c:ptCount val="4"/>
                <c:pt idx="0">
                  <c:v>-1.33144</c:v>
                </c:pt>
                <c:pt idx="1">
                  <c:v>-0.60808</c:v>
                </c:pt>
                <c:pt idx="2">
                  <c:v>0.258</c:v>
                </c:pt>
                <c:pt idx="3">
                  <c:v>-0.71163</c:v>
                </c:pt>
              </c:numCache>
            </c:numRef>
          </c:yVal>
          <c:smooth val="0"/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Визуализация!$H$93:$H$98</c:f>
              <c:numCache>
                <c:formatCode>General</c:formatCode>
                <c:ptCount val="6"/>
                <c:pt idx="0">
                  <c:v>0.12219</c:v>
                </c:pt>
                <c:pt idx="1">
                  <c:v>-0.88603</c:v>
                </c:pt>
                <c:pt idx="2">
                  <c:v>-0.08775</c:v>
                </c:pt>
                <c:pt idx="3">
                  <c:v>-0.24537</c:v>
                </c:pt>
                <c:pt idx="4">
                  <c:v>-0.72702</c:v>
                </c:pt>
                <c:pt idx="5">
                  <c:v>0.62051</c:v>
                </c:pt>
              </c:numCache>
            </c:numRef>
          </c:xVal>
          <c:yVal>
            <c:numRef>
              <c:f>Визуализация!$I$93:$I$98</c:f>
              <c:numCache>
                <c:formatCode>General</c:formatCode>
                <c:ptCount val="6"/>
                <c:pt idx="0">
                  <c:v>-1.17465</c:v>
                </c:pt>
                <c:pt idx="1">
                  <c:v>0.11569</c:v>
                </c:pt>
                <c:pt idx="2">
                  <c:v>-0.66854</c:v>
                </c:pt>
                <c:pt idx="3">
                  <c:v>-0.44979</c:v>
                </c:pt>
                <c:pt idx="4">
                  <c:v>-0.64157</c:v>
                </c:pt>
                <c:pt idx="5">
                  <c:v>-1.33405</c:v>
                </c:pt>
              </c:numCache>
            </c:numRef>
          </c:yVal>
          <c:smooth val="0"/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Визуализация!$H$99:$H$100</c:f>
              <c:numCache>
                <c:formatCode>General</c:formatCode>
                <c:ptCount val="2"/>
                <c:pt idx="0">
                  <c:v>1.92599</c:v>
                </c:pt>
                <c:pt idx="1">
                  <c:v>3.40207</c:v>
                </c:pt>
              </c:numCache>
            </c:numRef>
          </c:xVal>
          <c:yVal>
            <c:numRef>
              <c:f>Визуализация!$I$99:$I$100</c:f>
              <c:numCache>
                <c:formatCode>General</c:formatCode>
                <c:ptCount val="2"/>
                <c:pt idx="0">
                  <c:v>5.20752</c:v>
                </c:pt>
                <c:pt idx="1">
                  <c:v>4.09766</c:v>
                </c:pt>
              </c:numCache>
            </c:numRef>
          </c:yVal>
          <c:smooth val="0"/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Визуализация!$H$101:$H$120</c:f>
              <c:numCache>
                <c:formatCode>General</c:formatCode>
                <c:ptCount val="20"/>
                <c:pt idx="0">
                  <c:v>-0.27567</c:v>
                </c:pt>
                <c:pt idx="1">
                  <c:v>-0.09056</c:v>
                </c:pt>
                <c:pt idx="2">
                  <c:v>-0.27851</c:v>
                </c:pt>
                <c:pt idx="3">
                  <c:v>-0.30691</c:v>
                </c:pt>
                <c:pt idx="4">
                  <c:v>0.24728</c:v>
                </c:pt>
                <c:pt idx="5">
                  <c:v>-0.03038</c:v>
                </c:pt>
                <c:pt idx="6">
                  <c:v>-0.1484</c:v>
                </c:pt>
                <c:pt idx="7">
                  <c:v>-0.01495</c:v>
                </c:pt>
                <c:pt idx="8">
                  <c:v>-0.19344</c:v>
                </c:pt>
                <c:pt idx="9">
                  <c:v>0.06339</c:v>
                </c:pt>
                <c:pt idx="10">
                  <c:v>-0.28975</c:v>
                </c:pt>
                <c:pt idx="11">
                  <c:v>-0.35122</c:v>
                </c:pt>
                <c:pt idx="12">
                  <c:v>0.01642</c:v>
                </c:pt>
                <c:pt idx="13">
                  <c:v>-0.62304</c:v>
                </c:pt>
                <c:pt idx="14">
                  <c:v>-0.84027</c:v>
                </c:pt>
                <c:pt idx="15">
                  <c:v>-0.01757</c:v>
                </c:pt>
                <c:pt idx="16">
                  <c:v>-0.35801</c:v>
                </c:pt>
                <c:pt idx="17">
                  <c:v>0.24085</c:v>
                </c:pt>
                <c:pt idx="18">
                  <c:v>0.38304</c:v>
                </c:pt>
                <c:pt idx="19">
                  <c:v>-0.51143</c:v>
                </c:pt>
              </c:numCache>
            </c:numRef>
          </c:xVal>
          <c:yVal>
            <c:numRef>
              <c:f>Визуализация!$I$101:$I$120</c:f>
              <c:numCache>
                <c:formatCode>General</c:formatCode>
                <c:ptCount val="20"/>
                <c:pt idx="0">
                  <c:v>-0.30688</c:v>
                </c:pt>
                <c:pt idx="1">
                  <c:v>-0.37447</c:v>
                </c:pt>
                <c:pt idx="2">
                  <c:v>-0.34159</c:v>
                </c:pt>
                <c:pt idx="3">
                  <c:v>0.11362</c:v>
                </c:pt>
                <c:pt idx="4">
                  <c:v>0.15524</c:v>
                </c:pt>
                <c:pt idx="5">
                  <c:v>-0.40819</c:v>
                </c:pt>
                <c:pt idx="6">
                  <c:v>-0.65796</c:v>
                </c:pt>
                <c:pt idx="7">
                  <c:v>0.76751</c:v>
                </c:pt>
                <c:pt idx="8">
                  <c:v>-0.42577</c:v>
                </c:pt>
                <c:pt idx="9">
                  <c:v>-0.13168</c:v>
                </c:pt>
                <c:pt idx="10">
                  <c:v>-0.12187</c:v>
                </c:pt>
                <c:pt idx="11">
                  <c:v>-0.00894</c:v>
                </c:pt>
                <c:pt idx="12">
                  <c:v>0.12266</c:v>
                </c:pt>
                <c:pt idx="13">
                  <c:v>0.38744</c:v>
                </c:pt>
                <c:pt idx="14">
                  <c:v>0.02406</c:v>
                </c:pt>
                <c:pt idx="15">
                  <c:v>-0.41131</c:v>
                </c:pt>
                <c:pt idx="16">
                  <c:v>-0.00063</c:v>
                </c:pt>
                <c:pt idx="17">
                  <c:v>-0.13971</c:v>
                </c:pt>
                <c:pt idx="18">
                  <c:v>-0.60578</c:v>
                </c:pt>
                <c:pt idx="19">
                  <c:v>0.47232</c:v>
                </c:pt>
              </c:numCache>
            </c:numRef>
          </c:yVal>
          <c:smooth val="0"/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Визуализация!$H$121:$H$150</c:f>
              <c:numCache>
                <c:formatCode>General</c:formatCode>
                <c:ptCount val="30"/>
                <c:pt idx="0">
                  <c:v>-0.71155</c:v>
                </c:pt>
                <c:pt idx="1">
                  <c:v>-0.38295</c:v>
                </c:pt>
                <c:pt idx="2">
                  <c:v>-0.42286</c:v>
                </c:pt>
                <c:pt idx="3">
                  <c:v>0.22793</c:v>
                </c:pt>
                <c:pt idx="4">
                  <c:v>-0.37179</c:v>
                </c:pt>
                <c:pt idx="5">
                  <c:v>0.11755</c:v>
                </c:pt>
                <c:pt idx="6">
                  <c:v>-0.00787</c:v>
                </c:pt>
                <c:pt idx="7">
                  <c:v>0.00436</c:v>
                </c:pt>
                <c:pt idx="8">
                  <c:v>-0.49331</c:v>
                </c:pt>
                <c:pt idx="9">
                  <c:v>-0.5859</c:v>
                </c:pt>
                <c:pt idx="10">
                  <c:v>-0.12972</c:v>
                </c:pt>
                <c:pt idx="11">
                  <c:v>-0.18989</c:v>
                </c:pt>
                <c:pt idx="12">
                  <c:v>-0.39689</c:v>
                </c:pt>
                <c:pt idx="13">
                  <c:v>-0.7247</c:v>
                </c:pt>
                <c:pt idx="14">
                  <c:v>-0.03289</c:v>
                </c:pt>
                <c:pt idx="15">
                  <c:v>-0.16539</c:v>
                </c:pt>
                <c:pt idx="16">
                  <c:v>-0.46047</c:v>
                </c:pt>
                <c:pt idx="17">
                  <c:v>-0.11135</c:v>
                </c:pt>
                <c:pt idx="18">
                  <c:v>0.0874</c:v>
                </c:pt>
                <c:pt idx="19">
                  <c:v>-0.00942</c:v>
                </c:pt>
                <c:pt idx="20">
                  <c:v>0.0659</c:v>
                </c:pt>
                <c:pt idx="21">
                  <c:v>0.17991</c:v>
                </c:pt>
                <c:pt idx="22">
                  <c:v>6e-5</c:v>
                </c:pt>
                <c:pt idx="23">
                  <c:v>0.29187</c:v>
                </c:pt>
                <c:pt idx="24">
                  <c:v>0.1312</c:v>
                </c:pt>
                <c:pt idx="25">
                  <c:v>0.5415</c:v>
                </c:pt>
                <c:pt idx="26">
                  <c:v>0.00058</c:v>
                </c:pt>
                <c:pt idx="27">
                  <c:v>0.18228</c:v>
                </c:pt>
                <c:pt idx="28">
                  <c:v>-0.77461</c:v>
                </c:pt>
                <c:pt idx="29">
                  <c:v>0.04683</c:v>
                </c:pt>
              </c:numCache>
            </c:numRef>
          </c:xVal>
          <c:yVal>
            <c:numRef>
              <c:f>Визуализация!$I$121:$I$150</c:f>
              <c:numCache>
                <c:formatCode>General</c:formatCode>
                <c:ptCount val="30"/>
                <c:pt idx="0">
                  <c:v>0.04557</c:v>
                </c:pt>
                <c:pt idx="1">
                  <c:v>-0.75013</c:v>
                </c:pt>
                <c:pt idx="2">
                  <c:v>0.0498</c:v>
                </c:pt>
                <c:pt idx="3">
                  <c:v>-0.66235</c:v>
                </c:pt>
                <c:pt idx="4">
                  <c:v>-0.76622</c:v>
                </c:pt>
                <c:pt idx="5">
                  <c:v>-0.74204</c:v>
                </c:pt>
                <c:pt idx="6">
                  <c:v>-0.09799</c:v>
                </c:pt>
                <c:pt idx="7">
                  <c:v>-0.44791</c:v>
                </c:pt>
                <c:pt idx="8">
                  <c:v>0.24087</c:v>
                </c:pt>
                <c:pt idx="9">
                  <c:v>-0.99856</c:v>
                </c:pt>
                <c:pt idx="10">
                  <c:v>-0.4446</c:v>
                </c:pt>
                <c:pt idx="11">
                  <c:v>-0.20383</c:v>
                </c:pt>
                <c:pt idx="12">
                  <c:v>-0.437</c:v>
                </c:pt>
                <c:pt idx="13">
                  <c:v>-0.09349</c:v>
                </c:pt>
                <c:pt idx="14">
                  <c:v>-0.13615</c:v>
                </c:pt>
                <c:pt idx="15">
                  <c:v>-0.58329</c:v>
                </c:pt>
                <c:pt idx="16">
                  <c:v>-0.16881</c:v>
                </c:pt>
                <c:pt idx="17">
                  <c:v>-0.25867</c:v>
                </c:pt>
                <c:pt idx="18">
                  <c:v>-0.2276</c:v>
                </c:pt>
                <c:pt idx="19">
                  <c:v>0.13009</c:v>
                </c:pt>
                <c:pt idx="20">
                  <c:v>-0.01235</c:v>
                </c:pt>
                <c:pt idx="21">
                  <c:v>-0.07034</c:v>
                </c:pt>
                <c:pt idx="22">
                  <c:v>0.12006</c:v>
                </c:pt>
                <c:pt idx="23">
                  <c:v>-0.16302</c:v>
                </c:pt>
                <c:pt idx="24">
                  <c:v>0.32661</c:v>
                </c:pt>
                <c:pt idx="25">
                  <c:v>-0.66805</c:v>
                </c:pt>
                <c:pt idx="26">
                  <c:v>-0.38462</c:v>
                </c:pt>
                <c:pt idx="27">
                  <c:v>-0.31958</c:v>
                </c:pt>
                <c:pt idx="28">
                  <c:v>0.89102</c:v>
                </c:pt>
                <c:pt idx="29">
                  <c:v>-0.7824</c:v>
                </c:pt>
              </c:numCache>
            </c:numRef>
          </c:yVal>
          <c:smooth val="0"/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Визуализация!$H$151:$H$165</c:f>
              <c:numCache>
                <c:formatCode>General</c:formatCode>
                <c:ptCount val="15"/>
                <c:pt idx="0">
                  <c:v>0.1995</c:v>
                </c:pt>
                <c:pt idx="1">
                  <c:v>1.00922</c:v>
                </c:pt>
                <c:pt idx="2">
                  <c:v>1.41989</c:v>
                </c:pt>
                <c:pt idx="3">
                  <c:v>0.64645</c:v>
                </c:pt>
                <c:pt idx="4">
                  <c:v>0.77969</c:v>
                </c:pt>
                <c:pt idx="5">
                  <c:v>0.87372</c:v>
                </c:pt>
                <c:pt idx="6">
                  <c:v>2.21276</c:v>
                </c:pt>
                <c:pt idx="7">
                  <c:v>1.79355</c:v>
                </c:pt>
                <c:pt idx="8">
                  <c:v>1.34158</c:v>
                </c:pt>
                <c:pt idx="9">
                  <c:v>0.73992</c:v>
                </c:pt>
                <c:pt idx="10">
                  <c:v>1.42973</c:v>
                </c:pt>
                <c:pt idx="11">
                  <c:v>1.66312</c:v>
                </c:pt>
                <c:pt idx="12">
                  <c:v>0.76369</c:v>
                </c:pt>
                <c:pt idx="13">
                  <c:v>0.93103</c:v>
                </c:pt>
                <c:pt idx="14">
                  <c:v>1.92839</c:v>
                </c:pt>
              </c:numCache>
            </c:numRef>
          </c:xVal>
          <c:yVal>
            <c:numRef>
              <c:f>Визуализация!$I$151:$I$165</c:f>
              <c:numCache>
                <c:formatCode>General</c:formatCode>
                <c:ptCount val="15"/>
                <c:pt idx="0">
                  <c:v>-0.9615</c:v>
                </c:pt>
                <c:pt idx="1">
                  <c:v>0.26199</c:v>
                </c:pt>
                <c:pt idx="2">
                  <c:v>0.95637</c:v>
                </c:pt>
                <c:pt idx="3">
                  <c:v>1.04735</c:v>
                </c:pt>
                <c:pt idx="4">
                  <c:v>0.86121</c:v>
                </c:pt>
                <c:pt idx="5">
                  <c:v>-0.73676</c:v>
                </c:pt>
                <c:pt idx="6">
                  <c:v>-0.65409</c:v>
                </c:pt>
                <c:pt idx="7">
                  <c:v>0.64091</c:v>
                </c:pt>
                <c:pt idx="8">
                  <c:v>-0.0008</c:v>
                </c:pt>
                <c:pt idx="9">
                  <c:v>-1.05497</c:v>
                </c:pt>
                <c:pt idx="10">
                  <c:v>-1.10317</c:v>
                </c:pt>
                <c:pt idx="11">
                  <c:v>-0.68806</c:v>
                </c:pt>
                <c:pt idx="12">
                  <c:v>-0.78897</c:v>
                </c:pt>
                <c:pt idx="13">
                  <c:v>0.11724</c:v>
                </c:pt>
                <c:pt idx="14">
                  <c:v>0.64555</c:v>
                </c:pt>
              </c:numCache>
            </c:numRef>
          </c:yVal>
          <c:smooth val="0"/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Визуализация!$H$166:$H$173</c:f>
              <c:numCache>
                <c:formatCode>General</c:formatCode>
                <c:ptCount val="8"/>
                <c:pt idx="0">
                  <c:v>-0.99826</c:v>
                </c:pt>
                <c:pt idx="1">
                  <c:v>-1.71247</c:v>
                </c:pt>
                <c:pt idx="2">
                  <c:v>-1.45717</c:v>
                </c:pt>
                <c:pt idx="3">
                  <c:v>-1.9956</c:v>
                </c:pt>
                <c:pt idx="4">
                  <c:v>-3.97922</c:v>
                </c:pt>
                <c:pt idx="5">
                  <c:v>-1.22607</c:v>
                </c:pt>
                <c:pt idx="6">
                  <c:v>-1.37514</c:v>
                </c:pt>
                <c:pt idx="7">
                  <c:v>-2.36579</c:v>
                </c:pt>
              </c:numCache>
            </c:numRef>
          </c:xVal>
          <c:yVal>
            <c:numRef>
              <c:f>Визуализация!$I$166:$I$173</c:f>
              <c:numCache>
                <c:formatCode>General</c:formatCode>
                <c:ptCount val="8"/>
                <c:pt idx="0">
                  <c:v>0.35592</c:v>
                </c:pt>
                <c:pt idx="1">
                  <c:v>0.15467</c:v>
                </c:pt>
                <c:pt idx="2">
                  <c:v>0.73408</c:v>
                </c:pt>
                <c:pt idx="3">
                  <c:v>0.94367</c:v>
                </c:pt>
                <c:pt idx="4">
                  <c:v>3.26655</c:v>
                </c:pt>
                <c:pt idx="5">
                  <c:v>1.04421</c:v>
                </c:pt>
                <c:pt idx="6">
                  <c:v>0.84234</c:v>
                </c:pt>
                <c:pt idx="7">
                  <c:v>0.86405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8434815"/>
        <c:axId val="1768435231"/>
      </c:scatterChart>
      <c:valAx>
        <c:axId val="1768434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68435231"/>
        <c:crosses val="autoZero"/>
        <c:crossBetween val="midCat"/>
      </c:valAx>
      <c:valAx>
        <c:axId val="176843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68434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2990654205608"/>
          <c:y val="0.0274223034734918"/>
          <c:w val="0.0959501557632399"/>
          <c:h val="0.30914076782449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0715e85-16fb-4b5f-ac87-ec9d8665cb1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старый</a:t>
            </a:r>
            <a:r>
              <a:rPr lang="ru-RU" baseline="0"/>
              <a:t> К-средних</a:t>
            </a:r>
            <a:endParaRPr lang="ru-RU"/>
          </a:p>
        </c:rich>
      </c:tx>
      <c:layout>
        <c:manualLayout>
          <c:xMode val="edge"/>
          <c:yMode val="edge"/>
          <c:x val="0.389830508474576"/>
          <c:y val="0.069418386491557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Визуализация!$K$89:$K$117</c:f>
              <c:numCache>
                <c:formatCode>General</c:formatCode>
                <c:ptCount val="29"/>
                <c:pt idx="0">
                  <c:v>0.12219</c:v>
                </c:pt>
                <c:pt idx="1">
                  <c:v>-0.88603</c:v>
                </c:pt>
                <c:pt idx="2">
                  <c:v>-0.08775</c:v>
                </c:pt>
                <c:pt idx="3">
                  <c:v>-0.24537</c:v>
                </c:pt>
                <c:pt idx="4">
                  <c:v>-0.72702</c:v>
                </c:pt>
                <c:pt idx="5">
                  <c:v>-0.27567</c:v>
                </c:pt>
                <c:pt idx="6">
                  <c:v>-0.09056</c:v>
                </c:pt>
                <c:pt idx="7">
                  <c:v>-0.27851</c:v>
                </c:pt>
                <c:pt idx="8">
                  <c:v>-0.30691</c:v>
                </c:pt>
                <c:pt idx="9">
                  <c:v>-0.71155</c:v>
                </c:pt>
                <c:pt idx="10">
                  <c:v>-0.38295</c:v>
                </c:pt>
                <c:pt idx="11">
                  <c:v>-0.42286</c:v>
                </c:pt>
                <c:pt idx="12">
                  <c:v>0.22793</c:v>
                </c:pt>
                <c:pt idx="13">
                  <c:v>-0.37179</c:v>
                </c:pt>
                <c:pt idx="14">
                  <c:v>0.11755</c:v>
                </c:pt>
                <c:pt idx="15">
                  <c:v>-0.00787</c:v>
                </c:pt>
                <c:pt idx="16">
                  <c:v>0.00436</c:v>
                </c:pt>
                <c:pt idx="17">
                  <c:v>-0.49331</c:v>
                </c:pt>
                <c:pt idx="18">
                  <c:v>-0.5859</c:v>
                </c:pt>
                <c:pt idx="19">
                  <c:v>-0.12972</c:v>
                </c:pt>
                <c:pt idx="20">
                  <c:v>-0.18989</c:v>
                </c:pt>
                <c:pt idx="21">
                  <c:v>-0.39689</c:v>
                </c:pt>
                <c:pt idx="22">
                  <c:v>-0.7247</c:v>
                </c:pt>
                <c:pt idx="23">
                  <c:v>-0.03289</c:v>
                </c:pt>
                <c:pt idx="24">
                  <c:v>-0.16539</c:v>
                </c:pt>
                <c:pt idx="25">
                  <c:v>-0.46047</c:v>
                </c:pt>
                <c:pt idx="26">
                  <c:v>-0.11135</c:v>
                </c:pt>
                <c:pt idx="27">
                  <c:v>0.1995</c:v>
                </c:pt>
                <c:pt idx="28">
                  <c:v>-0.99826</c:v>
                </c:pt>
              </c:numCache>
            </c:numRef>
          </c:xVal>
          <c:yVal>
            <c:numRef>
              <c:f>Визуализация!$L$89:$L$117</c:f>
              <c:numCache>
                <c:formatCode>General</c:formatCode>
                <c:ptCount val="29"/>
                <c:pt idx="0">
                  <c:v>-1.17465</c:v>
                </c:pt>
                <c:pt idx="1">
                  <c:v>0.11569</c:v>
                </c:pt>
                <c:pt idx="2">
                  <c:v>-0.66854</c:v>
                </c:pt>
                <c:pt idx="3">
                  <c:v>-0.44979</c:v>
                </c:pt>
                <c:pt idx="4">
                  <c:v>-0.64157</c:v>
                </c:pt>
                <c:pt idx="5">
                  <c:v>-0.30688</c:v>
                </c:pt>
                <c:pt idx="6">
                  <c:v>-0.37447</c:v>
                </c:pt>
                <c:pt idx="7">
                  <c:v>-0.34159</c:v>
                </c:pt>
                <c:pt idx="8">
                  <c:v>0.11362</c:v>
                </c:pt>
                <c:pt idx="9">
                  <c:v>0.04557</c:v>
                </c:pt>
                <c:pt idx="10">
                  <c:v>-0.75013</c:v>
                </c:pt>
                <c:pt idx="11">
                  <c:v>0.0498</c:v>
                </c:pt>
                <c:pt idx="12">
                  <c:v>-0.66235</c:v>
                </c:pt>
                <c:pt idx="13">
                  <c:v>-0.76622</c:v>
                </c:pt>
                <c:pt idx="14">
                  <c:v>-0.74204</c:v>
                </c:pt>
                <c:pt idx="15">
                  <c:v>-0.09799</c:v>
                </c:pt>
                <c:pt idx="16">
                  <c:v>-0.44791</c:v>
                </c:pt>
                <c:pt idx="17">
                  <c:v>0.24087</c:v>
                </c:pt>
                <c:pt idx="18">
                  <c:v>-0.99856</c:v>
                </c:pt>
                <c:pt idx="19">
                  <c:v>-0.4446</c:v>
                </c:pt>
                <c:pt idx="20">
                  <c:v>-0.20383</c:v>
                </c:pt>
                <c:pt idx="21">
                  <c:v>-0.437</c:v>
                </c:pt>
                <c:pt idx="22">
                  <c:v>-0.09349</c:v>
                </c:pt>
                <c:pt idx="23">
                  <c:v>-0.13615</c:v>
                </c:pt>
                <c:pt idx="24">
                  <c:v>-0.58329</c:v>
                </c:pt>
                <c:pt idx="25">
                  <c:v>-0.16881</c:v>
                </c:pt>
                <c:pt idx="26">
                  <c:v>-0.25867</c:v>
                </c:pt>
                <c:pt idx="27">
                  <c:v>-0.9615</c:v>
                </c:pt>
                <c:pt idx="28">
                  <c:v>0.35592</c:v>
                </c:pt>
              </c:numCache>
            </c:numRef>
          </c:yVal>
          <c:smooth val="0"/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Визуализация!$K$118:$K$130</c:f>
              <c:numCache>
                <c:formatCode>General</c:formatCode>
                <c:ptCount val="13"/>
                <c:pt idx="0">
                  <c:v>0.24728</c:v>
                </c:pt>
                <c:pt idx="1">
                  <c:v>0.0874</c:v>
                </c:pt>
                <c:pt idx="2">
                  <c:v>-0.00942</c:v>
                </c:pt>
                <c:pt idx="3">
                  <c:v>0.0659</c:v>
                </c:pt>
                <c:pt idx="4">
                  <c:v>0.17991</c:v>
                </c:pt>
                <c:pt idx="5">
                  <c:v>6e-5</c:v>
                </c:pt>
                <c:pt idx="6">
                  <c:v>0.29187</c:v>
                </c:pt>
                <c:pt idx="7">
                  <c:v>0.1312</c:v>
                </c:pt>
                <c:pt idx="8">
                  <c:v>0.5415</c:v>
                </c:pt>
                <c:pt idx="9">
                  <c:v>1.00922</c:v>
                </c:pt>
                <c:pt idx="10">
                  <c:v>1.41989</c:v>
                </c:pt>
                <c:pt idx="11">
                  <c:v>0.64645</c:v>
                </c:pt>
                <c:pt idx="12">
                  <c:v>0.77969</c:v>
                </c:pt>
              </c:numCache>
            </c:numRef>
          </c:xVal>
          <c:yVal>
            <c:numRef>
              <c:f>Визуализация!$L$118:$L$130</c:f>
              <c:numCache>
                <c:formatCode>General</c:formatCode>
                <c:ptCount val="13"/>
                <c:pt idx="0">
                  <c:v>0.15524</c:v>
                </c:pt>
                <c:pt idx="1">
                  <c:v>-0.2276</c:v>
                </c:pt>
                <c:pt idx="2">
                  <c:v>0.13009</c:v>
                </c:pt>
                <c:pt idx="3">
                  <c:v>-0.01235</c:v>
                </c:pt>
                <c:pt idx="4">
                  <c:v>-0.07034</c:v>
                </c:pt>
                <c:pt idx="5">
                  <c:v>0.12006</c:v>
                </c:pt>
                <c:pt idx="6">
                  <c:v>-0.16302</c:v>
                </c:pt>
                <c:pt idx="7">
                  <c:v>0.32661</c:v>
                </c:pt>
                <c:pt idx="8">
                  <c:v>-0.66805</c:v>
                </c:pt>
                <c:pt idx="9">
                  <c:v>0.26199</c:v>
                </c:pt>
                <c:pt idx="10">
                  <c:v>0.95637</c:v>
                </c:pt>
                <c:pt idx="11">
                  <c:v>1.04735</c:v>
                </c:pt>
                <c:pt idx="12">
                  <c:v>0.86121</c:v>
                </c:pt>
              </c:numCache>
            </c:numRef>
          </c:yVal>
          <c:smooth val="0"/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Визуализация!$K$131:$K$137</c:f>
              <c:numCache>
                <c:formatCode>General</c:formatCode>
                <c:ptCount val="7"/>
                <c:pt idx="0">
                  <c:v>-1.71247</c:v>
                </c:pt>
                <c:pt idx="1">
                  <c:v>-1.45717</c:v>
                </c:pt>
                <c:pt idx="2">
                  <c:v>-1.9956</c:v>
                </c:pt>
                <c:pt idx="3">
                  <c:v>-3.97922</c:v>
                </c:pt>
                <c:pt idx="4">
                  <c:v>-1.22607</c:v>
                </c:pt>
                <c:pt idx="5">
                  <c:v>-1.37514</c:v>
                </c:pt>
                <c:pt idx="6">
                  <c:v>-2.36579</c:v>
                </c:pt>
              </c:numCache>
            </c:numRef>
          </c:xVal>
          <c:yVal>
            <c:numRef>
              <c:f>Визуализация!$L$131:$L$137</c:f>
              <c:numCache>
                <c:formatCode>General</c:formatCode>
                <c:ptCount val="7"/>
                <c:pt idx="0">
                  <c:v>0.15467</c:v>
                </c:pt>
                <c:pt idx="1">
                  <c:v>0.73408</c:v>
                </c:pt>
                <c:pt idx="2">
                  <c:v>0.94367</c:v>
                </c:pt>
                <c:pt idx="3">
                  <c:v>3.26655</c:v>
                </c:pt>
                <c:pt idx="4">
                  <c:v>1.04421</c:v>
                </c:pt>
                <c:pt idx="5">
                  <c:v>0.84234</c:v>
                </c:pt>
                <c:pt idx="6">
                  <c:v>0.86405</c:v>
                </c:pt>
              </c:numCache>
            </c:numRef>
          </c:yVal>
          <c:smooth val="0"/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Визуализация!$K$138:$K$156</c:f>
              <c:numCache>
                <c:formatCode>General</c:formatCode>
                <c:ptCount val="19"/>
                <c:pt idx="0">
                  <c:v>-0.03038</c:v>
                </c:pt>
                <c:pt idx="1">
                  <c:v>-0.1484</c:v>
                </c:pt>
                <c:pt idx="2">
                  <c:v>-0.01495</c:v>
                </c:pt>
                <c:pt idx="3">
                  <c:v>-0.19344</c:v>
                </c:pt>
                <c:pt idx="4">
                  <c:v>0.06339</c:v>
                </c:pt>
                <c:pt idx="5">
                  <c:v>-0.28975</c:v>
                </c:pt>
                <c:pt idx="6">
                  <c:v>-0.35122</c:v>
                </c:pt>
                <c:pt idx="7">
                  <c:v>0.01642</c:v>
                </c:pt>
                <c:pt idx="8">
                  <c:v>-0.62304</c:v>
                </c:pt>
                <c:pt idx="9">
                  <c:v>-0.84027</c:v>
                </c:pt>
                <c:pt idx="10">
                  <c:v>-0.01757</c:v>
                </c:pt>
                <c:pt idx="11">
                  <c:v>-0.35801</c:v>
                </c:pt>
                <c:pt idx="12">
                  <c:v>0.24085</c:v>
                </c:pt>
                <c:pt idx="13">
                  <c:v>0.38304</c:v>
                </c:pt>
                <c:pt idx="14">
                  <c:v>-0.51143</c:v>
                </c:pt>
                <c:pt idx="15">
                  <c:v>0.00058</c:v>
                </c:pt>
                <c:pt idx="16">
                  <c:v>0.18228</c:v>
                </c:pt>
                <c:pt idx="17">
                  <c:v>-0.77461</c:v>
                </c:pt>
                <c:pt idx="18">
                  <c:v>0.87372</c:v>
                </c:pt>
              </c:numCache>
            </c:numRef>
          </c:xVal>
          <c:yVal>
            <c:numRef>
              <c:f>Визуализация!$L$138:$L$156</c:f>
              <c:numCache>
                <c:formatCode>General</c:formatCode>
                <c:ptCount val="19"/>
                <c:pt idx="0">
                  <c:v>-0.40819</c:v>
                </c:pt>
                <c:pt idx="1">
                  <c:v>-0.65796</c:v>
                </c:pt>
                <c:pt idx="2">
                  <c:v>0.76751</c:v>
                </c:pt>
                <c:pt idx="3">
                  <c:v>-0.42577</c:v>
                </c:pt>
                <c:pt idx="4">
                  <c:v>-0.13168</c:v>
                </c:pt>
                <c:pt idx="5">
                  <c:v>-0.12187</c:v>
                </c:pt>
                <c:pt idx="6">
                  <c:v>-0.00894</c:v>
                </c:pt>
                <c:pt idx="7">
                  <c:v>0.12266</c:v>
                </c:pt>
                <c:pt idx="8">
                  <c:v>0.38744</c:v>
                </c:pt>
                <c:pt idx="9">
                  <c:v>0.02406</c:v>
                </c:pt>
                <c:pt idx="10">
                  <c:v>-0.41131</c:v>
                </c:pt>
                <c:pt idx="11">
                  <c:v>-0.00063</c:v>
                </c:pt>
                <c:pt idx="12">
                  <c:v>-0.13971</c:v>
                </c:pt>
                <c:pt idx="13">
                  <c:v>-0.60578</c:v>
                </c:pt>
                <c:pt idx="14">
                  <c:v>0.47232</c:v>
                </c:pt>
                <c:pt idx="15">
                  <c:v>-0.38462</c:v>
                </c:pt>
                <c:pt idx="16">
                  <c:v>-0.31958</c:v>
                </c:pt>
                <c:pt idx="17">
                  <c:v>0.89102</c:v>
                </c:pt>
                <c:pt idx="18">
                  <c:v>-0.73676</c:v>
                </c:pt>
              </c:numCache>
            </c:numRef>
          </c:yVal>
          <c:smooth val="0"/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Визуализация!$K$157:$K$158</c:f>
              <c:numCache>
                <c:formatCode>General</c:formatCode>
                <c:ptCount val="2"/>
                <c:pt idx="0">
                  <c:v>1.92599</c:v>
                </c:pt>
                <c:pt idx="1">
                  <c:v>3.40207</c:v>
                </c:pt>
              </c:numCache>
            </c:numRef>
          </c:xVal>
          <c:yVal>
            <c:numRef>
              <c:f>Визуализация!$L$157:$L$158</c:f>
              <c:numCache>
                <c:formatCode>General</c:formatCode>
                <c:ptCount val="2"/>
                <c:pt idx="0">
                  <c:v>5.20752</c:v>
                </c:pt>
                <c:pt idx="1">
                  <c:v>4.09766</c:v>
                </c:pt>
              </c:numCache>
            </c:numRef>
          </c:yVal>
          <c:smooth val="0"/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Визуализация!$K$159:$K$168</c:f>
              <c:numCache>
                <c:formatCode>General</c:formatCode>
                <c:ptCount val="10"/>
                <c:pt idx="0">
                  <c:v>0.62051</c:v>
                </c:pt>
                <c:pt idx="1">
                  <c:v>2.21276</c:v>
                </c:pt>
                <c:pt idx="2">
                  <c:v>1.79355</c:v>
                </c:pt>
                <c:pt idx="3">
                  <c:v>1.34158</c:v>
                </c:pt>
                <c:pt idx="4">
                  <c:v>0.73992</c:v>
                </c:pt>
                <c:pt idx="5">
                  <c:v>1.42973</c:v>
                </c:pt>
                <c:pt idx="6">
                  <c:v>1.66312</c:v>
                </c:pt>
                <c:pt idx="7">
                  <c:v>0.76369</c:v>
                </c:pt>
                <c:pt idx="8">
                  <c:v>0.93103</c:v>
                </c:pt>
                <c:pt idx="9">
                  <c:v>1.92839</c:v>
                </c:pt>
              </c:numCache>
            </c:numRef>
          </c:xVal>
          <c:yVal>
            <c:numRef>
              <c:f>Визуализация!$L$159:$L$168</c:f>
              <c:numCache>
                <c:formatCode>General</c:formatCode>
                <c:ptCount val="10"/>
                <c:pt idx="0">
                  <c:v>-1.33405</c:v>
                </c:pt>
                <c:pt idx="1">
                  <c:v>-0.65409</c:v>
                </c:pt>
                <c:pt idx="2">
                  <c:v>0.64091</c:v>
                </c:pt>
                <c:pt idx="3">
                  <c:v>-0.0008</c:v>
                </c:pt>
                <c:pt idx="4">
                  <c:v>-1.05497</c:v>
                </c:pt>
                <c:pt idx="5">
                  <c:v>-1.10317</c:v>
                </c:pt>
                <c:pt idx="6">
                  <c:v>-0.68806</c:v>
                </c:pt>
                <c:pt idx="7">
                  <c:v>-0.78897</c:v>
                </c:pt>
                <c:pt idx="8">
                  <c:v>0.11724</c:v>
                </c:pt>
                <c:pt idx="9">
                  <c:v>0.64555</c:v>
                </c:pt>
              </c:numCache>
            </c:numRef>
          </c:yVal>
          <c:smooth val="0"/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Визуализация!$K$169:$K$173</c:f>
              <c:numCache>
                <c:formatCode>General</c:formatCode>
                <c:ptCount val="5"/>
                <c:pt idx="0">
                  <c:v>0.76503</c:v>
                </c:pt>
                <c:pt idx="1">
                  <c:v>0.01285</c:v>
                </c:pt>
                <c:pt idx="2">
                  <c:v>-0.35773</c:v>
                </c:pt>
                <c:pt idx="3">
                  <c:v>0.30609</c:v>
                </c:pt>
                <c:pt idx="4">
                  <c:v>0.04683</c:v>
                </c:pt>
              </c:numCache>
            </c:numRef>
          </c:xVal>
          <c:yVal>
            <c:numRef>
              <c:f>Визуализация!$L$169:$L$173</c:f>
              <c:numCache>
                <c:formatCode>General</c:formatCode>
                <c:ptCount val="5"/>
                <c:pt idx="0">
                  <c:v>-1.33144</c:v>
                </c:pt>
                <c:pt idx="1">
                  <c:v>-0.60808</c:v>
                </c:pt>
                <c:pt idx="2">
                  <c:v>0.258</c:v>
                </c:pt>
                <c:pt idx="3">
                  <c:v>-0.71163</c:v>
                </c:pt>
                <c:pt idx="4">
                  <c:v>-0.7824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816495"/>
        <c:axId val="108813999"/>
      </c:scatterChart>
      <c:valAx>
        <c:axId val="108816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8813999"/>
        <c:crosses val="autoZero"/>
        <c:crossBetween val="midCat"/>
      </c:valAx>
      <c:valAx>
        <c:axId val="10881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8816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f91e030-dd15-40d9-88d2-822bdcd993b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Уорд</a:t>
            </a:r>
            <a:endParaRPr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'График средних'!$A$3</c:f>
              <c:strCache>
                <c:ptCount val="1"/>
                <c:pt idx="0">
                  <c:v>кластер1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'График средних'!$B$2:$C$2</c:f>
              <c:strCache>
                <c:ptCount val="2"/>
                <c:pt idx="0">
                  <c:v>factor1</c:v>
                </c:pt>
                <c:pt idx="1">
                  <c:v>factor2</c:v>
                </c:pt>
              </c:strCache>
            </c:strRef>
          </c:cat>
          <c:val>
            <c:numRef>
              <c:f>'График средних'!$B$3:$C$3</c:f>
              <c:numCache>
                <c:formatCode>General</c:formatCode>
                <c:ptCount val="2"/>
                <c:pt idx="0">
                  <c:v>0.0960953333333333</c:v>
                </c:pt>
                <c:pt idx="1">
                  <c:v>0.0215833333333333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'График средних'!$A$4</c:f>
              <c:strCache>
                <c:ptCount val="1"/>
                <c:pt idx="0">
                  <c:v>кластер2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'График средних'!$B$2:$C$2</c:f>
              <c:strCache>
                <c:ptCount val="2"/>
                <c:pt idx="0">
                  <c:v>factor1</c:v>
                </c:pt>
                <c:pt idx="1">
                  <c:v>factor2</c:v>
                </c:pt>
              </c:strCache>
            </c:strRef>
          </c:cat>
          <c:val>
            <c:numRef>
              <c:f>'График средних'!$B$4:$C$4</c:f>
              <c:numCache>
                <c:formatCode>General</c:formatCode>
                <c:ptCount val="2"/>
                <c:pt idx="0">
                  <c:v>-0.555702666666667</c:v>
                </c:pt>
                <c:pt idx="1">
                  <c:v>0.111303333333333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'График средних'!$A$5</c:f>
              <c:strCache>
                <c:ptCount val="1"/>
                <c:pt idx="0">
                  <c:v>кластер3</c:v>
                </c:pt>
              </c:strCache>
            </c:strRef>
          </c:tx>
          <c:spPr>
            <a:ln w="28575" cap="flat">
              <a:solidFill>
                <a:schemeClr val="accent3">
                  <a:alpha val="98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 cap="sq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'График средних'!$B$2:$C$2</c:f>
              <c:strCache>
                <c:ptCount val="2"/>
                <c:pt idx="0">
                  <c:v>factor1</c:v>
                </c:pt>
                <c:pt idx="1">
                  <c:v>factor2</c:v>
                </c:pt>
              </c:strCache>
            </c:strRef>
          </c:cat>
          <c:val>
            <c:numRef>
              <c:f>'График средних'!$B$5:$C$5</c:f>
              <c:numCache>
                <c:formatCode>General</c:formatCode>
                <c:ptCount val="2"/>
                <c:pt idx="0">
                  <c:v>2.66403</c:v>
                </c:pt>
                <c:pt idx="1">
                  <c:v>4.65259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'График средних'!$A$6</c:f>
              <c:strCache>
                <c:ptCount val="1"/>
                <c:pt idx="0">
                  <c:v>кластер4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'График средних'!$B$2:$C$2</c:f>
              <c:strCache>
                <c:ptCount val="2"/>
                <c:pt idx="0">
                  <c:v>factor1</c:v>
                </c:pt>
                <c:pt idx="1">
                  <c:v>factor2</c:v>
                </c:pt>
              </c:strCache>
            </c:strRef>
          </c:cat>
          <c:val>
            <c:numRef>
              <c:f>'График средних'!$B$6:$C$6</c:f>
              <c:numCache>
                <c:formatCode>General</c:formatCode>
                <c:ptCount val="2"/>
                <c:pt idx="0">
                  <c:v>1.231225</c:v>
                </c:pt>
                <c:pt idx="1">
                  <c:v>0.5662275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'График средних'!$A$7</c:f>
              <c:strCache>
                <c:ptCount val="1"/>
                <c:pt idx="0">
                  <c:v>кластер5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Pt>
            <c:idx val="0"/>
            <c:marker>
              <c:symbol val="triangle"/>
              <c:size val="5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</c:dPt>
          <c:dLbls>
            <c:delete val="1"/>
          </c:dLbls>
          <c:cat>
            <c:strRef>
              <c:f>'График средних'!$B$2:$C$2</c:f>
              <c:strCache>
                <c:ptCount val="2"/>
                <c:pt idx="0">
                  <c:v>factor1</c:v>
                </c:pt>
                <c:pt idx="1">
                  <c:v>factor2</c:v>
                </c:pt>
              </c:strCache>
            </c:strRef>
          </c:cat>
          <c:val>
            <c:numRef>
              <c:f>'График средних'!$B$7:$C$7</c:f>
              <c:numCache>
                <c:formatCode>General</c:formatCode>
                <c:ptCount val="2"/>
                <c:pt idx="0">
                  <c:v>1.13356</c:v>
                </c:pt>
                <c:pt idx="1">
                  <c:v>-0.96143875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'График средних'!$A$8</c:f>
              <c:strCache>
                <c:ptCount val="1"/>
                <c:pt idx="0">
                  <c:v>кластер6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dot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cat>
            <c:strRef>
              <c:f>'График средних'!$B$2:$C$2</c:f>
              <c:strCache>
                <c:ptCount val="2"/>
                <c:pt idx="0">
                  <c:v>factor1</c:v>
                </c:pt>
                <c:pt idx="1">
                  <c:v>factor2</c:v>
                </c:pt>
              </c:strCache>
            </c:strRef>
          </c:cat>
          <c:val>
            <c:numRef>
              <c:f>'График средних'!$B$8:$C$8</c:f>
              <c:numCache>
                <c:formatCode>General</c:formatCode>
                <c:ptCount val="2"/>
                <c:pt idx="0">
                  <c:v>-0.0850389655172414</c:v>
                </c:pt>
                <c:pt idx="1">
                  <c:v>-0.581978620689655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'График средних'!$A$9</c:f>
              <c:strCache>
                <c:ptCount val="1"/>
                <c:pt idx="0">
                  <c:v>кластер7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cat>
            <c:strRef>
              <c:f>'График средних'!$B$2:$C$2</c:f>
              <c:strCache>
                <c:ptCount val="2"/>
                <c:pt idx="0">
                  <c:v>factor1</c:v>
                </c:pt>
                <c:pt idx="1">
                  <c:v>factor2</c:v>
                </c:pt>
              </c:strCache>
            </c:strRef>
          </c:cat>
          <c:val>
            <c:numRef>
              <c:f>'График средних'!$B$9:$C$9</c:f>
              <c:numCache>
                <c:formatCode>General</c:formatCode>
                <c:ptCount val="2"/>
                <c:pt idx="0">
                  <c:v>-1.86075875</c:v>
                </c:pt>
                <c:pt idx="1">
                  <c:v>1.09257375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405755"/>
        <c:axId val="206410473"/>
      </c:lineChart>
      <c:catAx>
        <c:axId val="2644057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6410473"/>
        <c:crosses val="autoZero"/>
        <c:auto val="1"/>
        <c:lblAlgn val="ctr"/>
        <c:lblOffset val="100"/>
        <c:noMultiLvlLbl val="0"/>
      </c:catAx>
      <c:valAx>
        <c:axId val="2064104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44057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ff50609-2425-48b9-b765-c04c2ad2154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К-средних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'График средних'!$A$13</c:f>
              <c:strCache>
                <c:ptCount val="1"/>
                <c:pt idx="0">
                  <c:v>кластер1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'График средних'!$B$12:$C$12</c:f>
              <c:strCache>
                <c:ptCount val="2"/>
                <c:pt idx="0">
                  <c:v>factor1</c:v>
                </c:pt>
                <c:pt idx="1">
                  <c:v>factor2</c:v>
                </c:pt>
              </c:strCache>
            </c:strRef>
          </c:cat>
          <c:val>
            <c:numRef>
              <c:f>'График средних'!$B$13:$C$13</c:f>
              <c:numCache>
                <c:formatCode>General</c:formatCode>
                <c:ptCount val="2"/>
                <c:pt idx="0">
                  <c:v>0.187912857142857</c:v>
                </c:pt>
                <c:pt idx="1">
                  <c:v>0.20826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'График средних'!$A$14</c:f>
              <c:strCache>
                <c:ptCount val="1"/>
                <c:pt idx="0">
                  <c:v>кластер2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'График средних'!$B$12:$C$12</c:f>
              <c:strCache>
                <c:ptCount val="2"/>
                <c:pt idx="0">
                  <c:v>factor1</c:v>
                </c:pt>
                <c:pt idx="1">
                  <c:v>factor2</c:v>
                </c:pt>
              </c:strCache>
            </c:strRef>
          </c:cat>
          <c:val>
            <c:numRef>
              <c:f>'График средних'!$B$14:$C$14</c:f>
              <c:numCache>
                <c:formatCode>General</c:formatCode>
                <c:ptCount val="2"/>
                <c:pt idx="0">
                  <c:v>2.66403</c:v>
                </c:pt>
                <c:pt idx="1">
                  <c:v>4.65259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'График средних'!$A$15</c:f>
              <c:strCache>
                <c:ptCount val="1"/>
                <c:pt idx="0">
                  <c:v>кластер3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'График средних'!$B$12:$C$12</c:f>
              <c:strCache>
                <c:ptCount val="2"/>
                <c:pt idx="0">
                  <c:v>factor1</c:v>
                </c:pt>
                <c:pt idx="1">
                  <c:v>factor2</c:v>
                </c:pt>
              </c:strCache>
            </c:strRef>
          </c:cat>
          <c:val>
            <c:numRef>
              <c:f>'График средних'!$B$15:$C$15</c:f>
              <c:numCache>
                <c:formatCode>General</c:formatCode>
                <c:ptCount val="2"/>
                <c:pt idx="0">
                  <c:v>-0.658304375</c:v>
                </c:pt>
                <c:pt idx="1">
                  <c:v>0.177319375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'График средних'!$A$16</c:f>
              <c:strCache>
                <c:ptCount val="1"/>
                <c:pt idx="0">
                  <c:v>кластер4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dot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'График средних'!$B$12:$C$12</c:f>
              <c:strCache>
                <c:ptCount val="2"/>
                <c:pt idx="0">
                  <c:v>factor1</c:v>
                </c:pt>
                <c:pt idx="1">
                  <c:v>factor2</c:v>
                </c:pt>
              </c:strCache>
            </c:strRef>
          </c:cat>
          <c:val>
            <c:numRef>
              <c:f>'График средних'!$B$16:$C$16</c:f>
              <c:numCache>
                <c:formatCode>General</c:formatCode>
                <c:ptCount val="2"/>
                <c:pt idx="0">
                  <c:v>-0.1454075</c:v>
                </c:pt>
                <c:pt idx="1">
                  <c:v>-0.484320357142857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'График средних'!$A$17</c:f>
              <c:strCache>
                <c:ptCount val="1"/>
                <c:pt idx="0">
                  <c:v>кластер5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cat>
            <c:strRef>
              <c:f>'График средних'!$B$12:$C$12</c:f>
              <c:strCache>
                <c:ptCount val="2"/>
                <c:pt idx="0">
                  <c:v>factor1</c:v>
                </c:pt>
                <c:pt idx="1">
                  <c:v>factor2</c:v>
                </c:pt>
              </c:strCache>
            </c:strRef>
          </c:cat>
          <c:val>
            <c:numRef>
              <c:f>'График средних'!$B$17:$C$17</c:f>
              <c:numCache>
                <c:formatCode>General</c:formatCode>
                <c:ptCount val="2"/>
                <c:pt idx="0">
                  <c:v>0.613174545454545</c:v>
                </c:pt>
                <c:pt idx="1">
                  <c:v>-0.951906363636363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'График средних'!$A$18</c:f>
              <c:strCache>
                <c:ptCount val="1"/>
                <c:pt idx="0">
                  <c:v>кластер6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cat>
            <c:strRef>
              <c:f>'График средних'!$B$12:$C$12</c:f>
              <c:strCache>
                <c:ptCount val="2"/>
                <c:pt idx="0">
                  <c:v>factor1</c:v>
                </c:pt>
                <c:pt idx="1">
                  <c:v>factor2</c:v>
                </c:pt>
              </c:strCache>
            </c:strRef>
          </c:cat>
          <c:val>
            <c:numRef>
              <c:f>'График средних'!$B$18:$C$18</c:f>
              <c:numCache>
                <c:formatCode>General</c:formatCode>
                <c:ptCount val="2"/>
                <c:pt idx="0">
                  <c:v>1.5374425</c:v>
                </c:pt>
                <c:pt idx="1">
                  <c:v>0.15988875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'График средних'!$A$19</c:f>
              <c:strCache>
                <c:ptCount val="1"/>
                <c:pt idx="0">
                  <c:v>кластер7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cat>
            <c:strRef>
              <c:f>'График средних'!$B$12:$C$12</c:f>
              <c:strCache>
                <c:ptCount val="2"/>
                <c:pt idx="0">
                  <c:v>factor1</c:v>
                </c:pt>
                <c:pt idx="1">
                  <c:v>factor2</c:v>
                </c:pt>
              </c:strCache>
            </c:strRef>
          </c:cat>
          <c:val>
            <c:numRef>
              <c:f>'График средних'!$B$19:$C$19</c:f>
              <c:numCache>
                <c:formatCode>General</c:formatCode>
                <c:ptCount val="2"/>
                <c:pt idx="0">
                  <c:v>-2.06649833333333</c:v>
                </c:pt>
                <c:pt idx="1">
                  <c:v>1.28248333333333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976796"/>
        <c:axId val="858374061"/>
      </c:lineChart>
      <c:catAx>
        <c:axId val="2479767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8374061"/>
        <c:crosses val="autoZero"/>
        <c:auto val="1"/>
        <c:lblAlgn val="ctr"/>
        <c:lblOffset val="100"/>
        <c:noMultiLvlLbl val="0"/>
      </c:catAx>
      <c:valAx>
        <c:axId val="85837406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79767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00eea3e-f203-4e26-a484-f9a96f2b1c1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Новый К-средних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Визуализация2!$B$89:$B$98</c:f>
              <c:numCache>
                <c:formatCode>General</c:formatCode>
                <c:ptCount val="10"/>
                <c:pt idx="0">
                  <c:v>-0.54017</c:v>
                </c:pt>
                <c:pt idx="1">
                  <c:v>-0.43796</c:v>
                </c:pt>
                <c:pt idx="2">
                  <c:v>-0.94598</c:v>
                </c:pt>
                <c:pt idx="3">
                  <c:v>-0.8726</c:v>
                </c:pt>
                <c:pt idx="4">
                  <c:v>-0.79915</c:v>
                </c:pt>
                <c:pt idx="5">
                  <c:v>-0.93477</c:v>
                </c:pt>
                <c:pt idx="6">
                  <c:v>-0.63617</c:v>
                </c:pt>
                <c:pt idx="7">
                  <c:v>-0.61513</c:v>
                </c:pt>
                <c:pt idx="8">
                  <c:v>-0.47369</c:v>
                </c:pt>
                <c:pt idx="9">
                  <c:v>-0.70141</c:v>
                </c:pt>
              </c:numCache>
            </c:numRef>
          </c:xVal>
          <c:yVal>
            <c:numRef>
              <c:f>Визуализация2!$C$89:$C$98</c:f>
              <c:numCache>
                <c:formatCode>General</c:formatCode>
                <c:ptCount val="10"/>
                <c:pt idx="0">
                  <c:v>-0.464645</c:v>
                </c:pt>
                <c:pt idx="1">
                  <c:v>-0.123567</c:v>
                </c:pt>
                <c:pt idx="2">
                  <c:v>0.103381</c:v>
                </c:pt>
                <c:pt idx="3">
                  <c:v>-0.427925</c:v>
                </c:pt>
                <c:pt idx="4">
                  <c:v>-0.131269</c:v>
                </c:pt>
                <c:pt idx="5">
                  <c:v>-0.129907</c:v>
                </c:pt>
                <c:pt idx="6">
                  <c:v>0.021934</c:v>
                </c:pt>
                <c:pt idx="7">
                  <c:v>-0.436982</c:v>
                </c:pt>
                <c:pt idx="8">
                  <c:v>0.048068</c:v>
                </c:pt>
                <c:pt idx="9">
                  <c:v>0.013646</c:v>
                </c:pt>
              </c:numCache>
            </c:numRef>
          </c:yVal>
          <c:smooth val="0"/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Визуализация2!$B$99:$B$118</c:f>
              <c:numCache>
                <c:formatCode>General</c:formatCode>
                <c:ptCount val="20"/>
                <c:pt idx="0">
                  <c:v>0.21056</c:v>
                </c:pt>
                <c:pt idx="1">
                  <c:v>0.18992</c:v>
                </c:pt>
                <c:pt idx="2">
                  <c:v>0.26632</c:v>
                </c:pt>
                <c:pt idx="3">
                  <c:v>0.38446</c:v>
                </c:pt>
                <c:pt idx="4">
                  <c:v>0.30368</c:v>
                </c:pt>
                <c:pt idx="5">
                  <c:v>0.14959</c:v>
                </c:pt>
                <c:pt idx="6">
                  <c:v>0.31282</c:v>
                </c:pt>
                <c:pt idx="7">
                  <c:v>0.38147</c:v>
                </c:pt>
                <c:pt idx="8">
                  <c:v>0.2823</c:v>
                </c:pt>
                <c:pt idx="9">
                  <c:v>0.28205</c:v>
                </c:pt>
                <c:pt idx="10">
                  <c:v>0.13868</c:v>
                </c:pt>
                <c:pt idx="11">
                  <c:v>0.48777</c:v>
                </c:pt>
                <c:pt idx="12">
                  <c:v>0.31329</c:v>
                </c:pt>
                <c:pt idx="13">
                  <c:v>0.32624</c:v>
                </c:pt>
                <c:pt idx="14">
                  <c:v>0.19858</c:v>
                </c:pt>
                <c:pt idx="15">
                  <c:v>0.72626</c:v>
                </c:pt>
                <c:pt idx="16">
                  <c:v>0.13232</c:v>
                </c:pt>
                <c:pt idx="17">
                  <c:v>0.28007</c:v>
                </c:pt>
                <c:pt idx="18">
                  <c:v>0.53003</c:v>
                </c:pt>
                <c:pt idx="19">
                  <c:v>0.23052</c:v>
                </c:pt>
              </c:numCache>
            </c:numRef>
          </c:xVal>
          <c:yVal>
            <c:numRef>
              <c:f>Визуализация2!$C$99:$C$118</c:f>
              <c:numCache>
                <c:formatCode>General</c:formatCode>
                <c:ptCount val="20"/>
                <c:pt idx="0">
                  <c:v>-0.313787</c:v>
                </c:pt>
                <c:pt idx="1">
                  <c:v>-0.253995</c:v>
                </c:pt>
                <c:pt idx="2">
                  <c:v>-0.61545</c:v>
                </c:pt>
                <c:pt idx="3">
                  <c:v>-0.544774</c:v>
                </c:pt>
                <c:pt idx="4">
                  <c:v>-0.067684</c:v>
                </c:pt>
                <c:pt idx="5">
                  <c:v>-0.146907</c:v>
                </c:pt>
                <c:pt idx="6">
                  <c:v>-0.34233</c:v>
                </c:pt>
                <c:pt idx="7">
                  <c:v>-0.053682</c:v>
                </c:pt>
                <c:pt idx="8">
                  <c:v>-0.289623</c:v>
                </c:pt>
                <c:pt idx="9">
                  <c:v>-0.217957</c:v>
                </c:pt>
                <c:pt idx="10">
                  <c:v>-0.134001</c:v>
                </c:pt>
                <c:pt idx="11">
                  <c:v>-0.490705</c:v>
                </c:pt>
                <c:pt idx="12">
                  <c:v>-0.492457</c:v>
                </c:pt>
                <c:pt idx="13">
                  <c:v>-0.461201</c:v>
                </c:pt>
                <c:pt idx="14">
                  <c:v>-0.634975</c:v>
                </c:pt>
                <c:pt idx="15">
                  <c:v>-0.249903</c:v>
                </c:pt>
                <c:pt idx="16">
                  <c:v>-0.3302</c:v>
                </c:pt>
                <c:pt idx="17">
                  <c:v>-0.15216</c:v>
                </c:pt>
                <c:pt idx="18">
                  <c:v>-0.108848</c:v>
                </c:pt>
                <c:pt idx="19">
                  <c:v>-0.129518</c:v>
                </c:pt>
              </c:numCache>
            </c:numRef>
          </c:yVal>
          <c:smooth val="0"/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Визуализация2!$B$119:$B$146</c:f>
              <c:numCache>
                <c:formatCode>General</c:formatCode>
                <c:ptCount val="28"/>
                <c:pt idx="0">
                  <c:v>-0.18262</c:v>
                </c:pt>
                <c:pt idx="1">
                  <c:v>-0.03034</c:v>
                </c:pt>
                <c:pt idx="2">
                  <c:v>-0.23082</c:v>
                </c:pt>
                <c:pt idx="3">
                  <c:v>-0.26208</c:v>
                </c:pt>
                <c:pt idx="4">
                  <c:v>0.07074</c:v>
                </c:pt>
                <c:pt idx="5">
                  <c:v>-0.0657</c:v>
                </c:pt>
                <c:pt idx="6">
                  <c:v>-0.22172</c:v>
                </c:pt>
                <c:pt idx="7">
                  <c:v>0.00769</c:v>
                </c:pt>
                <c:pt idx="8">
                  <c:v>0.03842</c:v>
                </c:pt>
                <c:pt idx="9">
                  <c:v>-0.13235</c:v>
                </c:pt>
                <c:pt idx="10">
                  <c:v>-0.08206</c:v>
                </c:pt>
                <c:pt idx="11">
                  <c:v>-0.28957</c:v>
                </c:pt>
                <c:pt idx="12">
                  <c:v>0.08138</c:v>
                </c:pt>
                <c:pt idx="13">
                  <c:v>-0.22788</c:v>
                </c:pt>
                <c:pt idx="14">
                  <c:v>-0.09755</c:v>
                </c:pt>
                <c:pt idx="15">
                  <c:v>-0.21756</c:v>
                </c:pt>
                <c:pt idx="16">
                  <c:v>-0.13631</c:v>
                </c:pt>
                <c:pt idx="17">
                  <c:v>-0.03922</c:v>
                </c:pt>
                <c:pt idx="18">
                  <c:v>0.00049</c:v>
                </c:pt>
                <c:pt idx="19">
                  <c:v>-0.15641</c:v>
                </c:pt>
                <c:pt idx="20">
                  <c:v>-0.0956</c:v>
                </c:pt>
                <c:pt idx="21">
                  <c:v>-0.20281</c:v>
                </c:pt>
                <c:pt idx="22">
                  <c:v>-0.22096</c:v>
                </c:pt>
                <c:pt idx="23">
                  <c:v>-0.27389</c:v>
                </c:pt>
                <c:pt idx="24">
                  <c:v>0.01618</c:v>
                </c:pt>
                <c:pt idx="25">
                  <c:v>-0.03809</c:v>
                </c:pt>
                <c:pt idx="26">
                  <c:v>-0.35102</c:v>
                </c:pt>
                <c:pt idx="27">
                  <c:v>0.05583</c:v>
                </c:pt>
              </c:numCache>
            </c:numRef>
          </c:xVal>
          <c:yVal>
            <c:numRef>
              <c:f>Визуализация2!$C$119:$C$146</c:f>
              <c:numCache>
                <c:formatCode>General</c:formatCode>
                <c:ptCount val="28"/>
                <c:pt idx="0">
                  <c:v>-0.401754</c:v>
                </c:pt>
                <c:pt idx="1">
                  <c:v>-0.056678</c:v>
                </c:pt>
                <c:pt idx="2">
                  <c:v>-0.390381</c:v>
                </c:pt>
                <c:pt idx="3">
                  <c:v>0.226123</c:v>
                </c:pt>
                <c:pt idx="4">
                  <c:v>-0.253199</c:v>
                </c:pt>
                <c:pt idx="5">
                  <c:v>-0.036003</c:v>
                </c:pt>
                <c:pt idx="6">
                  <c:v>0.006699</c:v>
                </c:pt>
                <c:pt idx="7">
                  <c:v>-0.621859</c:v>
                </c:pt>
                <c:pt idx="8">
                  <c:v>-0.371945</c:v>
                </c:pt>
                <c:pt idx="9">
                  <c:v>-0.384385</c:v>
                </c:pt>
                <c:pt idx="10">
                  <c:v>-0.054138</c:v>
                </c:pt>
                <c:pt idx="11">
                  <c:v>-0.28207</c:v>
                </c:pt>
                <c:pt idx="12">
                  <c:v>-0.148364</c:v>
                </c:pt>
                <c:pt idx="13">
                  <c:v>-0.389662</c:v>
                </c:pt>
                <c:pt idx="14">
                  <c:v>-0.105275</c:v>
                </c:pt>
                <c:pt idx="15">
                  <c:v>-0.346233</c:v>
                </c:pt>
                <c:pt idx="16">
                  <c:v>-0.783412</c:v>
                </c:pt>
                <c:pt idx="17">
                  <c:v>-0.380046</c:v>
                </c:pt>
                <c:pt idx="18">
                  <c:v>-0.203316</c:v>
                </c:pt>
                <c:pt idx="19">
                  <c:v>-0.287295</c:v>
                </c:pt>
                <c:pt idx="20">
                  <c:v>-0.21541</c:v>
                </c:pt>
                <c:pt idx="21">
                  <c:v>-0.470196</c:v>
                </c:pt>
                <c:pt idx="22">
                  <c:v>-0.560144</c:v>
                </c:pt>
                <c:pt idx="23">
                  <c:v>-0.33243</c:v>
                </c:pt>
                <c:pt idx="24">
                  <c:v>0.235878</c:v>
                </c:pt>
                <c:pt idx="25">
                  <c:v>-0.260563</c:v>
                </c:pt>
                <c:pt idx="26">
                  <c:v>-0.357106</c:v>
                </c:pt>
                <c:pt idx="27">
                  <c:v>-0.246175</c:v>
                </c:pt>
              </c:numCache>
            </c:numRef>
          </c:yVal>
          <c:smooth val="0"/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Визуализация2!$B$147:$B$152</c:f>
              <c:numCache>
                <c:formatCode>General</c:formatCode>
                <c:ptCount val="6"/>
                <c:pt idx="0">
                  <c:v>-1.33841</c:v>
                </c:pt>
                <c:pt idx="1">
                  <c:v>-1.55584</c:v>
                </c:pt>
                <c:pt idx="2">
                  <c:v>-2.00542</c:v>
                </c:pt>
                <c:pt idx="3">
                  <c:v>-1.35277</c:v>
                </c:pt>
                <c:pt idx="4">
                  <c:v>-1.45602</c:v>
                </c:pt>
                <c:pt idx="5">
                  <c:v>-2.3431</c:v>
                </c:pt>
              </c:numCache>
            </c:numRef>
          </c:xVal>
          <c:yVal>
            <c:numRef>
              <c:f>Визуализация2!$C$147:$C$152</c:f>
              <c:numCache>
                <c:formatCode>General</c:formatCode>
                <c:ptCount val="6"/>
                <c:pt idx="0">
                  <c:v>-0.864968</c:v>
                </c:pt>
                <c:pt idx="1">
                  <c:v>-0.26616</c:v>
                </c:pt>
                <c:pt idx="2">
                  <c:v>-0.668617</c:v>
                </c:pt>
                <c:pt idx="3">
                  <c:v>-0.153724</c:v>
                </c:pt>
                <c:pt idx="4">
                  <c:v>-0.13223</c:v>
                </c:pt>
                <c:pt idx="5">
                  <c:v>-0.161402</c:v>
                </c:pt>
              </c:numCache>
            </c:numRef>
          </c:yVal>
          <c:smooth val="0"/>
        </c:ser>
        <c:ser>
          <c:idx val="4"/>
          <c:order val="4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Визуализация2!$B$153:$B$161</c:f>
              <c:numCache>
                <c:formatCode>General</c:formatCode>
                <c:ptCount val="9"/>
                <c:pt idx="0">
                  <c:v>1.33685</c:v>
                </c:pt>
                <c:pt idx="1">
                  <c:v>1.08163</c:v>
                </c:pt>
                <c:pt idx="2">
                  <c:v>0.85027</c:v>
                </c:pt>
                <c:pt idx="3">
                  <c:v>0.82193</c:v>
                </c:pt>
                <c:pt idx="4">
                  <c:v>0.74531</c:v>
                </c:pt>
                <c:pt idx="5">
                  <c:v>1.28913</c:v>
                </c:pt>
                <c:pt idx="6">
                  <c:v>1.77904</c:v>
                </c:pt>
                <c:pt idx="7">
                  <c:v>1.87772</c:v>
                </c:pt>
                <c:pt idx="8">
                  <c:v>1.08929</c:v>
                </c:pt>
              </c:numCache>
            </c:numRef>
          </c:xVal>
          <c:yVal>
            <c:numRef>
              <c:f>Визуализация2!$C$153:$C$161</c:f>
              <c:numCache>
                <c:formatCode>General</c:formatCode>
                <c:ptCount val="9"/>
                <c:pt idx="0">
                  <c:v>-0.48409</c:v>
                </c:pt>
                <c:pt idx="1">
                  <c:v>-0.595066</c:v>
                </c:pt>
                <c:pt idx="2">
                  <c:v>-0.308452</c:v>
                </c:pt>
                <c:pt idx="3">
                  <c:v>-0.749761</c:v>
                </c:pt>
                <c:pt idx="4">
                  <c:v>-0.989523</c:v>
                </c:pt>
                <c:pt idx="5">
                  <c:v>-0.60835</c:v>
                </c:pt>
                <c:pt idx="6">
                  <c:v>-0.453325</c:v>
                </c:pt>
                <c:pt idx="7">
                  <c:v>0.53997</c:v>
                </c:pt>
                <c:pt idx="8">
                  <c:v>-0.000556</c:v>
                </c:pt>
              </c:numCache>
            </c:numRef>
          </c:yVal>
          <c:smooth val="0"/>
        </c:ser>
        <c:ser>
          <c:idx val="5"/>
          <c:order val="5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Визуализация2!$B$162:$B$172</c:f>
              <c:numCache>
                <c:formatCode>General</c:formatCode>
                <c:ptCount val="11"/>
                <c:pt idx="0">
                  <c:v>0.51357</c:v>
                </c:pt>
                <c:pt idx="1">
                  <c:v>1.98565</c:v>
                </c:pt>
                <c:pt idx="2">
                  <c:v>1.1889</c:v>
                </c:pt>
                <c:pt idx="3">
                  <c:v>1.08157</c:v>
                </c:pt>
                <c:pt idx="4">
                  <c:v>-0.75208</c:v>
                </c:pt>
                <c:pt idx="5">
                  <c:v>0.88065</c:v>
                </c:pt>
                <c:pt idx="6">
                  <c:v>0.07437</c:v>
                </c:pt>
                <c:pt idx="7">
                  <c:v>0.16071</c:v>
                </c:pt>
                <c:pt idx="8">
                  <c:v>0.48141</c:v>
                </c:pt>
                <c:pt idx="9">
                  <c:v>0.69666</c:v>
                </c:pt>
                <c:pt idx="10">
                  <c:v>1.12926</c:v>
                </c:pt>
              </c:numCache>
            </c:numRef>
          </c:xVal>
          <c:yVal>
            <c:numRef>
              <c:f>Визуализация2!$C$162:$C$172</c:f>
              <c:numCache>
                <c:formatCode>General</c:formatCode>
                <c:ptCount val="11"/>
                <c:pt idx="0">
                  <c:v>0.972977</c:v>
                </c:pt>
                <c:pt idx="1">
                  <c:v>1.390577</c:v>
                </c:pt>
                <c:pt idx="2">
                  <c:v>1.88728</c:v>
                </c:pt>
                <c:pt idx="3">
                  <c:v>1.009081</c:v>
                </c:pt>
                <c:pt idx="4">
                  <c:v>4.058255</c:v>
                </c:pt>
                <c:pt idx="5">
                  <c:v>0.979964</c:v>
                </c:pt>
                <c:pt idx="6">
                  <c:v>1.254434</c:v>
                </c:pt>
                <c:pt idx="7">
                  <c:v>1.327507</c:v>
                </c:pt>
                <c:pt idx="8">
                  <c:v>1.644753</c:v>
                </c:pt>
                <c:pt idx="9">
                  <c:v>4.260723</c:v>
                </c:pt>
                <c:pt idx="10">
                  <c:v>1.690975</c:v>
                </c:pt>
              </c:numCache>
            </c:numRef>
          </c:yVal>
          <c:smooth val="0"/>
        </c:ser>
        <c:ser>
          <c:idx val="6"/>
          <c:order val="6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Визуализация2!$B$173</c:f>
              <c:numCache>
                <c:formatCode>General</c:formatCode>
                <c:ptCount val="1"/>
                <c:pt idx="0">
                  <c:v>-4.14634</c:v>
                </c:pt>
              </c:numCache>
            </c:numRef>
          </c:xVal>
          <c:yVal>
            <c:numRef>
              <c:f>Визуализация2!$C$173</c:f>
              <c:numCache>
                <c:formatCode>General</c:formatCode>
                <c:ptCount val="1"/>
                <c:pt idx="0">
                  <c:v>0.446484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156982"/>
        <c:axId val="867329374"/>
      </c:scatterChart>
      <c:valAx>
        <c:axId val="63015698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7329374"/>
        <c:crosses val="autoZero"/>
        <c:crossBetween val="midCat"/>
      </c:valAx>
      <c:valAx>
        <c:axId val="8673293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015698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af3e542-525b-40c1-8d5b-d1cca8521a6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Старый К-средних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Визуализация2!$M$89:$M$117</c:f>
              <c:numCache>
                <c:formatCode>General</c:formatCode>
                <c:ptCount val="29"/>
                <c:pt idx="0">
                  <c:v>-0.54017</c:v>
                </c:pt>
                <c:pt idx="1">
                  <c:v>-0.18262</c:v>
                </c:pt>
                <c:pt idx="2">
                  <c:v>-0.23082</c:v>
                </c:pt>
                <c:pt idx="3">
                  <c:v>0.82193</c:v>
                </c:pt>
                <c:pt idx="4">
                  <c:v>-0.43796</c:v>
                </c:pt>
                <c:pt idx="5">
                  <c:v>0.74531</c:v>
                </c:pt>
                <c:pt idx="6">
                  <c:v>0.38147</c:v>
                </c:pt>
                <c:pt idx="7">
                  <c:v>0.00769</c:v>
                </c:pt>
                <c:pt idx="8">
                  <c:v>-0.94598</c:v>
                </c:pt>
                <c:pt idx="9">
                  <c:v>0.2823</c:v>
                </c:pt>
                <c:pt idx="10">
                  <c:v>0.48777</c:v>
                </c:pt>
                <c:pt idx="11">
                  <c:v>0.08138</c:v>
                </c:pt>
                <c:pt idx="12">
                  <c:v>0.32624</c:v>
                </c:pt>
                <c:pt idx="13">
                  <c:v>-0.8726</c:v>
                </c:pt>
                <c:pt idx="14">
                  <c:v>-0.21756</c:v>
                </c:pt>
                <c:pt idx="15">
                  <c:v>-0.13631</c:v>
                </c:pt>
                <c:pt idx="16">
                  <c:v>-0.03922</c:v>
                </c:pt>
                <c:pt idx="17">
                  <c:v>0.00049</c:v>
                </c:pt>
                <c:pt idx="18">
                  <c:v>0.19858</c:v>
                </c:pt>
                <c:pt idx="19">
                  <c:v>-0.15641</c:v>
                </c:pt>
                <c:pt idx="20">
                  <c:v>-0.0956</c:v>
                </c:pt>
                <c:pt idx="21">
                  <c:v>-0.20281</c:v>
                </c:pt>
                <c:pt idx="22">
                  <c:v>-0.22096</c:v>
                </c:pt>
                <c:pt idx="23">
                  <c:v>-0.61513</c:v>
                </c:pt>
                <c:pt idx="24">
                  <c:v>0.01618</c:v>
                </c:pt>
                <c:pt idx="25">
                  <c:v>-0.03809</c:v>
                </c:pt>
                <c:pt idx="26">
                  <c:v>-0.47369</c:v>
                </c:pt>
                <c:pt idx="27">
                  <c:v>-0.35102</c:v>
                </c:pt>
                <c:pt idx="28">
                  <c:v>0.05583</c:v>
                </c:pt>
              </c:numCache>
            </c:numRef>
          </c:xVal>
          <c:yVal>
            <c:numRef>
              <c:f>Визуализация2!$N$89:$N$117</c:f>
              <c:numCache>
                <c:formatCode>General</c:formatCode>
                <c:ptCount val="29"/>
                <c:pt idx="0">
                  <c:v>-0.464645</c:v>
                </c:pt>
                <c:pt idx="1">
                  <c:v>-0.401754</c:v>
                </c:pt>
                <c:pt idx="2">
                  <c:v>-0.390381</c:v>
                </c:pt>
                <c:pt idx="3">
                  <c:v>-0.749761</c:v>
                </c:pt>
                <c:pt idx="4">
                  <c:v>-0.123567</c:v>
                </c:pt>
                <c:pt idx="5">
                  <c:v>-0.989523</c:v>
                </c:pt>
                <c:pt idx="6">
                  <c:v>-0.053682</c:v>
                </c:pt>
                <c:pt idx="7">
                  <c:v>-0.621859</c:v>
                </c:pt>
                <c:pt idx="8">
                  <c:v>0.103381</c:v>
                </c:pt>
                <c:pt idx="9">
                  <c:v>-0.289623</c:v>
                </c:pt>
                <c:pt idx="10">
                  <c:v>-0.490705</c:v>
                </c:pt>
                <c:pt idx="11">
                  <c:v>-0.148364</c:v>
                </c:pt>
                <c:pt idx="12">
                  <c:v>-0.461201</c:v>
                </c:pt>
                <c:pt idx="13">
                  <c:v>-0.427925</c:v>
                </c:pt>
                <c:pt idx="14">
                  <c:v>-0.346233</c:v>
                </c:pt>
                <c:pt idx="15">
                  <c:v>-0.783412</c:v>
                </c:pt>
                <c:pt idx="16">
                  <c:v>-0.380046</c:v>
                </c:pt>
                <c:pt idx="17">
                  <c:v>-0.203316</c:v>
                </c:pt>
                <c:pt idx="18">
                  <c:v>-0.634975</c:v>
                </c:pt>
                <c:pt idx="19">
                  <c:v>-0.287295</c:v>
                </c:pt>
                <c:pt idx="20">
                  <c:v>-0.21541</c:v>
                </c:pt>
                <c:pt idx="21">
                  <c:v>-0.470196</c:v>
                </c:pt>
                <c:pt idx="22">
                  <c:v>-0.560144</c:v>
                </c:pt>
                <c:pt idx="23">
                  <c:v>-0.436982</c:v>
                </c:pt>
                <c:pt idx="24">
                  <c:v>0.235878</c:v>
                </c:pt>
                <c:pt idx="25">
                  <c:v>-0.260563</c:v>
                </c:pt>
                <c:pt idx="26">
                  <c:v>0.048068</c:v>
                </c:pt>
                <c:pt idx="27">
                  <c:v>-0.357106</c:v>
                </c:pt>
                <c:pt idx="28">
                  <c:v>-0.246175</c:v>
                </c:pt>
              </c:numCache>
            </c:numRef>
          </c:yVal>
          <c:smooth val="0"/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Визуализация2!$M$118:$M$130</c:f>
              <c:numCache>
                <c:formatCode>General</c:formatCode>
                <c:ptCount val="13"/>
                <c:pt idx="0">
                  <c:v>0.21056</c:v>
                </c:pt>
                <c:pt idx="1">
                  <c:v>0.51357</c:v>
                </c:pt>
                <c:pt idx="2">
                  <c:v>-0.03034</c:v>
                </c:pt>
                <c:pt idx="3">
                  <c:v>-0.26208</c:v>
                </c:pt>
                <c:pt idx="4">
                  <c:v>0.07074</c:v>
                </c:pt>
                <c:pt idx="5">
                  <c:v>0.30368</c:v>
                </c:pt>
                <c:pt idx="6">
                  <c:v>-0.0657</c:v>
                </c:pt>
                <c:pt idx="7">
                  <c:v>0.28205</c:v>
                </c:pt>
                <c:pt idx="8">
                  <c:v>-0.08206</c:v>
                </c:pt>
                <c:pt idx="9">
                  <c:v>0.88065</c:v>
                </c:pt>
                <c:pt idx="10">
                  <c:v>0.07437</c:v>
                </c:pt>
                <c:pt idx="11">
                  <c:v>0.16071</c:v>
                </c:pt>
                <c:pt idx="12">
                  <c:v>0.72626</c:v>
                </c:pt>
              </c:numCache>
            </c:numRef>
          </c:xVal>
          <c:yVal>
            <c:numRef>
              <c:f>Визуализация2!$N$118:$N$130</c:f>
              <c:numCache>
                <c:formatCode>General</c:formatCode>
                <c:ptCount val="13"/>
                <c:pt idx="0">
                  <c:v>-0.313787</c:v>
                </c:pt>
                <c:pt idx="1">
                  <c:v>0.972977</c:v>
                </c:pt>
                <c:pt idx="2">
                  <c:v>-0.056678</c:v>
                </c:pt>
                <c:pt idx="3">
                  <c:v>0.226123</c:v>
                </c:pt>
                <c:pt idx="4">
                  <c:v>-0.253199</c:v>
                </c:pt>
                <c:pt idx="5">
                  <c:v>-0.067684</c:v>
                </c:pt>
                <c:pt idx="6">
                  <c:v>-0.036003</c:v>
                </c:pt>
                <c:pt idx="7">
                  <c:v>-0.217957</c:v>
                </c:pt>
                <c:pt idx="8">
                  <c:v>-0.054138</c:v>
                </c:pt>
                <c:pt idx="9">
                  <c:v>0.979964</c:v>
                </c:pt>
                <c:pt idx="10">
                  <c:v>1.254434</c:v>
                </c:pt>
                <c:pt idx="11">
                  <c:v>1.327507</c:v>
                </c:pt>
                <c:pt idx="12">
                  <c:v>-0.249903</c:v>
                </c:pt>
              </c:numCache>
            </c:numRef>
          </c:yVal>
          <c:smooth val="0"/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Визуализация2!$M$131:$M$137</c:f>
              <c:numCache>
                <c:formatCode>General</c:formatCode>
                <c:ptCount val="7"/>
                <c:pt idx="0">
                  <c:v>-1.33841</c:v>
                </c:pt>
                <c:pt idx="1">
                  <c:v>-1.55584</c:v>
                </c:pt>
                <c:pt idx="2">
                  <c:v>-2.00542</c:v>
                </c:pt>
                <c:pt idx="3">
                  <c:v>-4.14634</c:v>
                </c:pt>
                <c:pt idx="4">
                  <c:v>-1.35277</c:v>
                </c:pt>
                <c:pt idx="5">
                  <c:v>-1.45602</c:v>
                </c:pt>
                <c:pt idx="6">
                  <c:v>-2.3431</c:v>
                </c:pt>
              </c:numCache>
            </c:numRef>
          </c:xVal>
          <c:yVal>
            <c:numRef>
              <c:f>Визуализация2!$N$131:$N$137</c:f>
              <c:numCache>
                <c:formatCode>General</c:formatCode>
                <c:ptCount val="7"/>
                <c:pt idx="0">
                  <c:v>-0.864968</c:v>
                </c:pt>
                <c:pt idx="1">
                  <c:v>-0.26616</c:v>
                </c:pt>
                <c:pt idx="2">
                  <c:v>-0.668617</c:v>
                </c:pt>
                <c:pt idx="3">
                  <c:v>0.446484</c:v>
                </c:pt>
                <c:pt idx="4">
                  <c:v>-0.153724</c:v>
                </c:pt>
                <c:pt idx="5">
                  <c:v>-0.13223</c:v>
                </c:pt>
                <c:pt idx="6">
                  <c:v>-0.161402</c:v>
                </c:pt>
              </c:numCache>
            </c:numRef>
          </c:yVal>
          <c:smooth val="0"/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Визуализация2!$M$138:$M$156</c:f>
              <c:numCache>
                <c:formatCode>General</c:formatCode>
                <c:ptCount val="19"/>
                <c:pt idx="0">
                  <c:v>1.33685</c:v>
                </c:pt>
                <c:pt idx="1">
                  <c:v>0.18992</c:v>
                </c:pt>
                <c:pt idx="2">
                  <c:v>0.26632</c:v>
                </c:pt>
                <c:pt idx="3">
                  <c:v>0.14959</c:v>
                </c:pt>
                <c:pt idx="4">
                  <c:v>0.31282</c:v>
                </c:pt>
                <c:pt idx="5">
                  <c:v>-0.22172</c:v>
                </c:pt>
                <c:pt idx="6">
                  <c:v>0.03842</c:v>
                </c:pt>
                <c:pt idx="7">
                  <c:v>0.13868</c:v>
                </c:pt>
                <c:pt idx="8">
                  <c:v>-0.13235</c:v>
                </c:pt>
                <c:pt idx="9">
                  <c:v>-0.28957</c:v>
                </c:pt>
                <c:pt idx="10">
                  <c:v>-0.09755</c:v>
                </c:pt>
                <c:pt idx="11">
                  <c:v>-0.79915</c:v>
                </c:pt>
                <c:pt idx="12">
                  <c:v>-0.93477</c:v>
                </c:pt>
                <c:pt idx="13">
                  <c:v>-0.63617</c:v>
                </c:pt>
                <c:pt idx="14">
                  <c:v>0.13232</c:v>
                </c:pt>
                <c:pt idx="15">
                  <c:v>-0.27389</c:v>
                </c:pt>
                <c:pt idx="16">
                  <c:v>0.28007</c:v>
                </c:pt>
                <c:pt idx="17">
                  <c:v>0.53003</c:v>
                </c:pt>
                <c:pt idx="18">
                  <c:v>-0.70141</c:v>
                </c:pt>
              </c:numCache>
            </c:numRef>
          </c:xVal>
          <c:yVal>
            <c:numRef>
              <c:f>Визуализация2!$N$138:$N$156</c:f>
              <c:numCache>
                <c:formatCode>General</c:formatCode>
                <c:ptCount val="19"/>
                <c:pt idx="0">
                  <c:v>-0.48409</c:v>
                </c:pt>
                <c:pt idx="1">
                  <c:v>-0.253995</c:v>
                </c:pt>
                <c:pt idx="2">
                  <c:v>-0.61545</c:v>
                </c:pt>
                <c:pt idx="3">
                  <c:v>-0.146907</c:v>
                </c:pt>
                <c:pt idx="4">
                  <c:v>-0.34233</c:v>
                </c:pt>
                <c:pt idx="5">
                  <c:v>0.006699</c:v>
                </c:pt>
                <c:pt idx="6">
                  <c:v>-0.371945</c:v>
                </c:pt>
                <c:pt idx="7">
                  <c:v>-0.134001</c:v>
                </c:pt>
                <c:pt idx="8">
                  <c:v>-0.384385</c:v>
                </c:pt>
                <c:pt idx="9">
                  <c:v>-0.28207</c:v>
                </c:pt>
                <c:pt idx="10">
                  <c:v>-0.105275</c:v>
                </c:pt>
                <c:pt idx="11">
                  <c:v>-0.131269</c:v>
                </c:pt>
                <c:pt idx="12">
                  <c:v>-0.129907</c:v>
                </c:pt>
                <c:pt idx="13">
                  <c:v>0.021934</c:v>
                </c:pt>
                <c:pt idx="14">
                  <c:v>-0.3302</c:v>
                </c:pt>
                <c:pt idx="15">
                  <c:v>-0.33243</c:v>
                </c:pt>
                <c:pt idx="16">
                  <c:v>-0.15216</c:v>
                </c:pt>
                <c:pt idx="17">
                  <c:v>-0.108848</c:v>
                </c:pt>
                <c:pt idx="18">
                  <c:v>0.013646</c:v>
                </c:pt>
              </c:numCache>
            </c:numRef>
          </c:yVal>
          <c:smooth val="0"/>
        </c:ser>
        <c:ser>
          <c:idx val="4"/>
          <c:order val="4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Визуализация2!$M$157:$M$158</c:f>
              <c:numCache>
                <c:formatCode>General</c:formatCode>
                <c:ptCount val="2"/>
                <c:pt idx="0">
                  <c:v>-0.75208</c:v>
                </c:pt>
                <c:pt idx="1">
                  <c:v>0.69666</c:v>
                </c:pt>
              </c:numCache>
            </c:numRef>
          </c:xVal>
          <c:yVal>
            <c:numRef>
              <c:f>Визуализация2!$N$157:$N$158</c:f>
              <c:numCache>
                <c:formatCode>General</c:formatCode>
                <c:ptCount val="2"/>
                <c:pt idx="0">
                  <c:v>4.058255</c:v>
                </c:pt>
                <c:pt idx="1">
                  <c:v>4.260723</c:v>
                </c:pt>
              </c:numCache>
            </c:numRef>
          </c:yVal>
          <c:smooth val="0"/>
        </c:ser>
        <c:ser>
          <c:idx val="5"/>
          <c:order val="5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Визуализация2!$M$159:$M$168</c:f>
              <c:numCache>
                <c:formatCode>General</c:formatCode>
                <c:ptCount val="10"/>
                <c:pt idx="0">
                  <c:v>1.08163</c:v>
                </c:pt>
                <c:pt idx="1">
                  <c:v>1.98565</c:v>
                </c:pt>
                <c:pt idx="2">
                  <c:v>1.1889</c:v>
                </c:pt>
                <c:pt idx="3">
                  <c:v>1.08157</c:v>
                </c:pt>
                <c:pt idx="4">
                  <c:v>1.28913</c:v>
                </c:pt>
                <c:pt idx="5">
                  <c:v>1.77904</c:v>
                </c:pt>
                <c:pt idx="6">
                  <c:v>1.87772</c:v>
                </c:pt>
                <c:pt idx="7">
                  <c:v>1.08929</c:v>
                </c:pt>
                <c:pt idx="8">
                  <c:v>0.48141</c:v>
                </c:pt>
                <c:pt idx="9">
                  <c:v>1.12926</c:v>
                </c:pt>
              </c:numCache>
            </c:numRef>
          </c:xVal>
          <c:yVal>
            <c:numRef>
              <c:f>Визуализация2!$N$159:$N$168</c:f>
              <c:numCache>
                <c:formatCode>General</c:formatCode>
                <c:ptCount val="10"/>
                <c:pt idx="0">
                  <c:v>-0.595066</c:v>
                </c:pt>
                <c:pt idx="1">
                  <c:v>1.390577</c:v>
                </c:pt>
                <c:pt idx="2">
                  <c:v>1.88728</c:v>
                </c:pt>
                <c:pt idx="3">
                  <c:v>1.009081</c:v>
                </c:pt>
                <c:pt idx="4">
                  <c:v>-0.60835</c:v>
                </c:pt>
                <c:pt idx="5">
                  <c:v>-0.453325</c:v>
                </c:pt>
                <c:pt idx="6">
                  <c:v>0.53997</c:v>
                </c:pt>
                <c:pt idx="7">
                  <c:v>-0.000556</c:v>
                </c:pt>
                <c:pt idx="8">
                  <c:v>1.644753</c:v>
                </c:pt>
                <c:pt idx="9">
                  <c:v>1.690975</c:v>
                </c:pt>
              </c:numCache>
            </c:numRef>
          </c:yVal>
          <c:smooth val="0"/>
        </c:ser>
        <c:ser>
          <c:idx val="6"/>
          <c:order val="6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Визуализация2!$M$169:$M$173</c:f>
              <c:numCache>
                <c:formatCode>General</c:formatCode>
                <c:ptCount val="5"/>
                <c:pt idx="0">
                  <c:v>0.85027</c:v>
                </c:pt>
                <c:pt idx="1">
                  <c:v>0.38446</c:v>
                </c:pt>
                <c:pt idx="2">
                  <c:v>0.31329</c:v>
                </c:pt>
                <c:pt idx="3">
                  <c:v>-0.22788</c:v>
                </c:pt>
                <c:pt idx="4">
                  <c:v>0.23052</c:v>
                </c:pt>
              </c:numCache>
            </c:numRef>
          </c:xVal>
          <c:yVal>
            <c:numRef>
              <c:f>Визуализация2!$N$169:$N$173</c:f>
              <c:numCache>
                <c:formatCode>General</c:formatCode>
                <c:ptCount val="5"/>
                <c:pt idx="0">
                  <c:v>-0.308452</c:v>
                </c:pt>
                <c:pt idx="1">
                  <c:v>-0.544774</c:v>
                </c:pt>
                <c:pt idx="2">
                  <c:v>-0.492457</c:v>
                </c:pt>
                <c:pt idx="3">
                  <c:v>-0.389662</c:v>
                </c:pt>
                <c:pt idx="4">
                  <c:v>-0.129518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982365"/>
        <c:axId val="718863832"/>
      </c:scatterChart>
      <c:valAx>
        <c:axId val="25498236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8863832"/>
        <c:crosses val="autoZero"/>
        <c:crossBetween val="midCat"/>
      </c:valAx>
      <c:valAx>
        <c:axId val="718863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498236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3c51949-f7f4-4ae6-b5a5-692a5409883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Старый Уорд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Визуализация2!$Q$89:$Q$92</c:f>
              <c:numCache>
                <c:formatCode>General</c:formatCode>
                <c:ptCount val="4"/>
                <c:pt idx="0">
                  <c:v>0.08138</c:v>
                </c:pt>
                <c:pt idx="1">
                  <c:v>0.32624</c:v>
                </c:pt>
                <c:pt idx="2">
                  <c:v>-2.00542</c:v>
                </c:pt>
                <c:pt idx="3">
                  <c:v>0.23052</c:v>
                </c:pt>
              </c:numCache>
            </c:numRef>
          </c:xVal>
          <c:yVal>
            <c:numRef>
              <c:f>Визуализация2!$R$89:$R$92</c:f>
              <c:numCache>
                <c:formatCode>General</c:formatCode>
                <c:ptCount val="4"/>
                <c:pt idx="0">
                  <c:v>-0.148364</c:v>
                </c:pt>
                <c:pt idx="1">
                  <c:v>-0.461201</c:v>
                </c:pt>
                <c:pt idx="2">
                  <c:v>-0.668617</c:v>
                </c:pt>
                <c:pt idx="3">
                  <c:v>-0.129518</c:v>
                </c:pt>
              </c:numCache>
            </c:numRef>
          </c:yVal>
          <c:smooth val="0"/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Визуализация2!$Q$93:$Q$98</c:f>
              <c:numCache>
                <c:formatCode>General</c:formatCode>
                <c:ptCount val="6"/>
                <c:pt idx="0">
                  <c:v>0.48777</c:v>
                </c:pt>
                <c:pt idx="1">
                  <c:v>-0.61513</c:v>
                </c:pt>
                <c:pt idx="2">
                  <c:v>-0.35102</c:v>
                </c:pt>
                <c:pt idx="3">
                  <c:v>0.51357</c:v>
                </c:pt>
                <c:pt idx="4">
                  <c:v>-0.13235</c:v>
                </c:pt>
                <c:pt idx="5">
                  <c:v>-0.70141</c:v>
                </c:pt>
              </c:numCache>
            </c:numRef>
          </c:xVal>
          <c:yVal>
            <c:numRef>
              <c:f>Визуализация2!$R$93:$R$98</c:f>
              <c:numCache>
                <c:formatCode>General</c:formatCode>
                <c:ptCount val="6"/>
                <c:pt idx="0">
                  <c:v>-0.490705</c:v>
                </c:pt>
                <c:pt idx="1">
                  <c:v>-0.436982</c:v>
                </c:pt>
                <c:pt idx="2">
                  <c:v>-0.357106</c:v>
                </c:pt>
                <c:pt idx="3">
                  <c:v>0.972977</c:v>
                </c:pt>
                <c:pt idx="4">
                  <c:v>-0.384385</c:v>
                </c:pt>
                <c:pt idx="5">
                  <c:v>0.013646</c:v>
                </c:pt>
              </c:numCache>
            </c:numRef>
          </c:yVal>
          <c:smooth val="0"/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Визуализация2!$Q$99:$Q$100</c:f>
              <c:numCache>
                <c:formatCode>General</c:formatCode>
                <c:ptCount val="2"/>
                <c:pt idx="0">
                  <c:v>-0.26208</c:v>
                </c:pt>
                <c:pt idx="1">
                  <c:v>0.31329</c:v>
                </c:pt>
              </c:numCache>
            </c:numRef>
          </c:xVal>
          <c:yVal>
            <c:numRef>
              <c:f>Визуализация2!$R$99:$R$100</c:f>
              <c:numCache>
                <c:formatCode>General</c:formatCode>
                <c:ptCount val="2"/>
                <c:pt idx="0">
                  <c:v>0.226123</c:v>
                </c:pt>
                <c:pt idx="1">
                  <c:v>-0.492457</c:v>
                </c:pt>
              </c:numCache>
            </c:numRef>
          </c:yVal>
          <c:smooth val="0"/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Визуализация2!$Q$101:$Q$120</c:f>
              <c:numCache>
                <c:formatCode>General</c:formatCode>
                <c:ptCount val="20"/>
                <c:pt idx="0">
                  <c:v>-0.54017</c:v>
                </c:pt>
                <c:pt idx="1">
                  <c:v>-0.43796</c:v>
                </c:pt>
                <c:pt idx="2">
                  <c:v>0.74531</c:v>
                </c:pt>
                <c:pt idx="3">
                  <c:v>0.2823</c:v>
                </c:pt>
                <c:pt idx="4">
                  <c:v>-0.03809</c:v>
                </c:pt>
                <c:pt idx="5">
                  <c:v>0.05583</c:v>
                </c:pt>
                <c:pt idx="6">
                  <c:v>0.30368</c:v>
                </c:pt>
                <c:pt idx="7">
                  <c:v>-0.08206</c:v>
                </c:pt>
                <c:pt idx="8">
                  <c:v>0.07437</c:v>
                </c:pt>
                <c:pt idx="9">
                  <c:v>-4.14634</c:v>
                </c:pt>
                <c:pt idx="10">
                  <c:v>0.31282</c:v>
                </c:pt>
                <c:pt idx="11">
                  <c:v>-0.22172</c:v>
                </c:pt>
                <c:pt idx="12">
                  <c:v>-0.79915</c:v>
                </c:pt>
                <c:pt idx="13">
                  <c:v>-0.93477</c:v>
                </c:pt>
                <c:pt idx="14">
                  <c:v>-0.75208</c:v>
                </c:pt>
                <c:pt idx="15">
                  <c:v>1.08163</c:v>
                </c:pt>
                <c:pt idx="16">
                  <c:v>1.98565</c:v>
                </c:pt>
                <c:pt idx="17">
                  <c:v>1.28913</c:v>
                </c:pt>
                <c:pt idx="18">
                  <c:v>1.77904</c:v>
                </c:pt>
                <c:pt idx="19">
                  <c:v>0.38446</c:v>
                </c:pt>
              </c:numCache>
            </c:numRef>
          </c:xVal>
          <c:yVal>
            <c:numRef>
              <c:f>Визуализация2!$R$101:$R$120</c:f>
              <c:numCache>
                <c:formatCode>General</c:formatCode>
                <c:ptCount val="20"/>
                <c:pt idx="0">
                  <c:v>-0.464645</c:v>
                </c:pt>
                <c:pt idx="1">
                  <c:v>-0.123567</c:v>
                </c:pt>
                <c:pt idx="2">
                  <c:v>-0.989523</c:v>
                </c:pt>
                <c:pt idx="3">
                  <c:v>-0.289623</c:v>
                </c:pt>
                <c:pt idx="4">
                  <c:v>-0.260563</c:v>
                </c:pt>
                <c:pt idx="5">
                  <c:v>-0.246175</c:v>
                </c:pt>
                <c:pt idx="6">
                  <c:v>-0.067684</c:v>
                </c:pt>
                <c:pt idx="7">
                  <c:v>-0.054138</c:v>
                </c:pt>
                <c:pt idx="8">
                  <c:v>1.254434</c:v>
                </c:pt>
                <c:pt idx="9">
                  <c:v>0.446484</c:v>
                </c:pt>
                <c:pt idx="10">
                  <c:v>-0.34233</c:v>
                </c:pt>
                <c:pt idx="11">
                  <c:v>0.006699</c:v>
                </c:pt>
                <c:pt idx="12">
                  <c:v>-0.131269</c:v>
                </c:pt>
                <c:pt idx="13">
                  <c:v>-0.129907</c:v>
                </c:pt>
                <c:pt idx="14">
                  <c:v>4.058255</c:v>
                </c:pt>
                <c:pt idx="15">
                  <c:v>-0.595066</c:v>
                </c:pt>
                <c:pt idx="16">
                  <c:v>1.390577</c:v>
                </c:pt>
                <c:pt idx="17">
                  <c:v>-0.60835</c:v>
                </c:pt>
                <c:pt idx="18">
                  <c:v>-0.453325</c:v>
                </c:pt>
                <c:pt idx="19">
                  <c:v>-0.544774</c:v>
                </c:pt>
              </c:numCache>
            </c:numRef>
          </c:yVal>
          <c:smooth val="0"/>
        </c:ser>
        <c:ser>
          <c:idx val="4"/>
          <c:order val="4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Визуализация2!$Q$121:$Q$150</c:f>
              <c:numCache>
                <c:formatCode>General</c:formatCode>
                <c:ptCount val="30"/>
                <c:pt idx="0">
                  <c:v>0.82193</c:v>
                </c:pt>
                <c:pt idx="1">
                  <c:v>0.38147</c:v>
                </c:pt>
                <c:pt idx="2">
                  <c:v>0.00769</c:v>
                </c:pt>
                <c:pt idx="3">
                  <c:v>-0.94598</c:v>
                </c:pt>
                <c:pt idx="4">
                  <c:v>-0.8726</c:v>
                </c:pt>
                <c:pt idx="5">
                  <c:v>-0.21756</c:v>
                </c:pt>
                <c:pt idx="6">
                  <c:v>0.00049</c:v>
                </c:pt>
                <c:pt idx="7">
                  <c:v>-0.0956</c:v>
                </c:pt>
                <c:pt idx="8">
                  <c:v>-0.20281</c:v>
                </c:pt>
                <c:pt idx="9">
                  <c:v>-0.22096</c:v>
                </c:pt>
                <c:pt idx="10">
                  <c:v>0.01618</c:v>
                </c:pt>
                <c:pt idx="11">
                  <c:v>-0.47369</c:v>
                </c:pt>
                <c:pt idx="12">
                  <c:v>0.07074</c:v>
                </c:pt>
                <c:pt idx="13">
                  <c:v>-0.0657</c:v>
                </c:pt>
                <c:pt idx="14">
                  <c:v>0.28205</c:v>
                </c:pt>
                <c:pt idx="15">
                  <c:v>0.88065</c:v>
                </c:pt>
                <c:pt idx="16">
                  <c:v>0.16071</c:v>
                </c:pt>
                <c:pt idx="17">
                  <c:v>-1.33841</c:v>
                </c:pt>
                <c:pt idx="18">
                  <c:v>-1.35277</c:v>
                </c:pt>
                <c:pt idx="19">
                  <c:v>0.14959</c:v>
                </c:pt>
                <c:pt idx="20">
                  <c:v>-0.28957</c:v>
                </c:pt>
                <c:pt idx="21">
                  <c:v>-0.09755</c:v>
                </c:pt>
                <c:pt idx="22">
                  <c:v>-0.63617</c:v>
                </c:pt>
                <c:pt idx="23">
                  <c:v>-0.27389</c:v>
                </c:pt>
                <c:pt idx="24">
                  <c:v>0.53003</c:v>
                </c:pt>
                <c:pt idx="25">
                  <c:v>0.69666</c:v>
                </c:pt>
                <c:pt idx="26">
                  <c:v>1.1889</c:v>
                </c:pt>
                <c:pt idx="27">
                  <c:v>1.08157</c:v>
                </c:pt>
                <c:pt idx="28">
                  <c:v>1.87772</c:v>
                </c:pt>
                <c:pt idx="29">
                  <c:v>1.12926</c:v>
                </c:pt>
              </c:numCache>
            </c:numRef>
          </c:xVal>
          <c:yVal>
            <c:numRef>
              <c:f>Визуализация2!$R$121:$R$150</c:f>
              <c:numCache>
                <c:formatCode>General</c:formatCode>
                <c:ptCount val="30"/>
                <c:pt idx="0">
                  <c:v>-0.749761</c:v>
                </c:pt>
                <c:pt idx="1">
                  <c:v>-0.053682</c:v>
                </c:pt>
                <c:pt idx="2">
                  <c:v>-0.621859</c:v>
                </c:pt>
                <c:pt idx="3">
                  <c:v>0.103381</c:v>
                </c:pt>
                <c:pt idx="4">
                  <c:v>-0.427925</c:v>
                </c:pt>
                <c:pt idx="5">
                  <c:v>-0.346233</c:v>
                </c:pt>
                <c:pt idx="6">
                  <c:v>-0.203316</c:v>
                </c:pt>
                <c:pt idx="7">
                  <c:v>-0.21541</c:v>
                </c:pt>
                <c:pt idx="8">
                  <c:v>-0.470196</c:v>
                </c:pt>
                <c:pt idx="9">
                  <c:v>-0.560144</c:v>
                </c:pt>
                <c:pt idx="10">
                  <c:v>0.235878</c:v>
                </c:pt>
                <c:pt idx="11">
                  <c:v>0.048068</c:v>
                </c:pt>
                <c:pt idx="12">
                  <c:v>-0.253199</c:v>
                </c:pt>
                <c:pt idx="13">
                  <c:v>-0.036003</c:v>
                </c:pt>
                <c:pt idx="14">
                  <c:v>-0.217957</c:v>
                </c:pt>
                <c:pt idx="15">
                  <c:v>0.979964</c:v>
                </c:pt>
                <c:pt idx="16">
                  <c:v>1.327507</c:v>
                </c:pt>
                <c:pt idx="17">
                  <c:v>-0.864968</c:v>
                </c:pt>
                <c:pt idx="18">
                  <c:v>-0.153724</c:v>
                </c:pt>
                <c:pt idx="19">
                  <c:v>-0.146907</c:v>
                </c:pt>
                <c:pt idx="20">
                  <c:v>-0.28207</c:v>
                </c:pt>
                <c:pt idx="21">
                  <c:v>-0.105275</c:v>
                </c:pt>
                <c:pt idx="22">
                  <c:v>0.021934</c:v>
                </c:pt>
                <c:pt idx="23">
                  <c:v>-0.33243</c:v>
                </c:pt>
                <c:pt idx="24">
                  <c:v>-0.108848</c:v>
                </c:pt>
                <c:pt idx="25">
                  <c:v>4.260723</c:v>
                </c:pt>
                <c:pt idx="26">
                  <c:v>1.88728</c:v>
                </c:pt>
                <c:pt idx="27">
                  <c:v>1.009081</c:v>
                </c:pt>
                <c:pt idx="28">
                  <c:v>0.53997</c:v>
                </c:pt>
                <c:pt idx="29">
                  <c:v>1.690975</c:v>
                </c:pt>
              </c:numCache>
            </c:numRef>
          </c:yVal>
          <c:smooth val="0"/>
        </c:ser>
        <c:ser>
          <c:idx val="5"/>
          <c:order val="5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Визуализация2!$Q$151:$Q$165</c:f>
              <c:numCache>
                <c:formatCode>General</c:formatCode>
                <c:ptCount val="15"/>
                <c:pt idx="0">
                  <c:v>-0.18262</c:v>
                </c:pt>
                <c:pt idx="1">
                  <c:v>-0.23082</c:v>
                </c:pt>
                <c:pt idx="2">
                  <c:v>-0.03922</c:v>
                </c:pt>
                <c:pt idx="3">
                  <c:v>0.19858</c:v>
                </c:pt>
                <c:pt idx="4">
                  <c:v>0.21056</c:v>
                </c:pt>
                <c:pt idx="5">
                  <c:v>-0.03034</c:v>
                </c:pt>
                <c:pt idx="6">
                  <c:v>0.72626</c:v>
                </c:pt>
                <c:pt idx="7">
                  <c:v>0.18992</c:v>
                </c:pt>
                <c:pt idx="8">
                  <c:v>0.26632</c:v>
                </c:pt>
                <c:pt idx="9">
                  <c:v>0.03842</c:v>
                </c:pt>
                <c:pt idx="10">
                  <c:v>0.13232</c:v>
                </c:pt>
                <c:pt idx="11">
                  <c:v>0.28007</c:v>
                </c:pt>
                <c:pt idx="12">
                  <c:v>1.08929</c:v>
                </c:pt>
                <c:pt idx="13">
                  <c:v>0.48141</c:v>
                </c:pt>
                <c:pt idx="14">
                  <c:v>-0.22788</c:v>
                </c:pt>
              </c:numCache>
            </c:numRef>
          </c:xVal>
          <c:yVal>
            <c:numRef>
              <c:f>Визуализация2!$R$151:$R$165</c:f>
              <c:numCache>
                <c:formatCode>General</c:formatCode>
                <c:ptCount val="15"/>
                <c:pt idx="0">
                  <c:v>-0.401754</c:v>
                </c:pt>
                <c:pt idx="1">
                  <c:v>-0.390381</c:v>
                </c:pt>
                <c:pt idx="2">
                  <c:v>-0.380046</c:v>
                </c:pt>
                <c:pt idx="3">
                  <c:v>-0.634975</c:v>
                </c:pt>
                <c:pt idx="4">
                  <c:v>-0.313787</c:v>
                </c:pt>
                <c:pt idx="5">
                  <c:v>-0.056678</c:v>
                </c:pt>
                <c:pt idx="6">
                  <c:v>-0.249903</c:v>
                </c:pt>
                <c:pt idx="7">
                  <c:v>-0.253995</c:v>
                </c:pt>
                <c:pt idx="8">
                  <c:v>-0.61545</c:v>
                </c:pt>
                <c:pt idx="9">
                  <c:v>-0.371945</c:v>
                </c:pt>
                <c:pt idx="10">
                  <c:v>-0.3302</c:v>
                </c:pt>
                <c:pt idx="11">
                  <c:v>-0.15216</c:v>
                </c:pt>
                <c:pt idx="12">
                  <c:v>-0.000556</c:v>
                </c:pt>
                <c:pt idx="13">
                  <c:v>1.644753</c:v>
                </c:pt>
                <c:pt idx="14">
                  <c:v>-0.389662</c:v>
                </c:pt>
              </c:numCache>
            </c:numRef>
          </c:yVal>
          <c:smooth val="0"/>
        </c:ser>
        <c:ser>
          <c:idx val="6"/>
          <c:order val="6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Визуализация2!$Q$166:$Q$173</c:f>
              <c:numCache>
                <c:formatCode>General</c:formatCode>
                <c:ptCount val="8"/>
                <c:pt idx="0">
                  <c:v>-0.13631</c:v>
                </c:pt>
                <c:pt idx="1">
                  <c:v>-0.15641</c:v>
                </c:pt>
                <c:pt idx="2">
                  <c:v>-1.55584</c:v>
                </c:pt>
                <c:pt idx="3">
                  <c:v>-1.45602</c:v>
                </c:pt>
                <c:pt idx="4">
                  <c:v>-2.3431</c:v>
                </c:pt>
                <c:pt idx="5">
                  <c:v>1.33685</c:v>
                </c:pt>
                <c:pt idx="6">
                  <c:v>0.13868</c:v>
                </c:pt>
                <c:pt idx="7">
                  <c:v>0.85027</c:v>
                </c:pt>
              </c:numCache>
            </c:numRef>
          </c:xVal>
          <c:yVal>
            <c:numRef>
              <c:f>Визуализация2!$R$166:$R$173</c:f>
              <c:numCache>
                <c:formatCode>General</c:formatCode>
                <c:ptCount val="8"/>
                <c:pt idx="0">
                  <c:v>-0.783412</c:v>
                </c:pt>
                <c:pt idx="1">
                  <c:v>-0.287295</c:v>
                </c:pt>
                <c:pt idx="2">
                  <c:v>-0.26616</c:v>
                </c:pt>
                <c:pt idx="3">
                  <c:v>-0.13223</c:v>
                </c:pt>
                <c:pt idx="4">
                  <c:v>-0.161402</c:v>
                </c:pt>
                <c:pt idx="5">
                  <c:v>-0.48409</c:v>
                </c:pt>
                <c:pt idx="6">
                  <c:v>-0.134001</c:v>
                </c:pt>
                <c:pt idx="7">
                  <c:v>-0.308452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573995"/>
        <c:axId val="471769797"/>
      </c:scatterChart>
      <c:valAx>
        <c:axId val="925739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1769797"/>
        <c:crosses val="autoZero"/>
        <c:crossBetween val="midCat"/>
      </c:valAx>
      <c:valAx>
        <c:axId val="47176979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57399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ddbac7e-2b01-4205-a538-1348cc4c310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Новый Уорд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15263157894737"/>
          <c:y val="0.177083333333333"/>
          <c:w val="0.916894736842105"/>
          <c:h val="0.666666666666667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Визуализация2!$V$89</c:f>
              <c:numCache>
                <c:formatCode>General</c:formatCode>
                <c:ptCount val="1"/>
                <c:pt idx="0">
                  <c:v>-4.14634</c:v>
                </c:pt>
              </c:numCache>
            </c:numRef>
          </c:xVal>
          <c:yVal>
            <c:numRef>
              <c:f>Визуализация2!$W$89</c:f>
              <c:numCache>
                <c:formatCode>General</c:formatCode>
                <c:ptCount val="1"/>
                <c:pt idx="0">
                  <c:v>0.446484</c:v>
                </c:pt>
              </c:numCache>
            </c:numRef>
          </c:yVal>
          <c:smooth val="0"/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Визуализация2!$V$90:$V$98</c:f>
              <c:numCache>
                <c:formatCode>General</c:formatCode>
                <c:ptCount val="9"/>
                <c:pt idx="0">
                  <c:v>1.33685</c:v>
                </c:pt>
                <c:pt idx="1">
                  <c:v>1.08163</c:v>
                </c:pt>
                <c:pt idx="2">
                  <c:v>0.85027</c:v>
                </c:pt>
                <c:pt idx="3">
                  <c:v>0.82193</c:v>
                </c:pt>
                <c:pt idx="4">
                  <c:v>0.74531</c:v>
                </c:pt>
                <c:pt idx="5">
                  <c:v>1.28913</c:v>
                </c:pt>
                <c:pt idx="6">
                  <c:v>1.77904</c:v>
                </c:pt>
                <c:pt idx="7">
                  <c:v>0.72626</c:v>
                </c:pt>
                <c:pt idx="8">
                  <c:v>1.08929</c:v>
                </c:pt>
              </c:numCache>
            </c:numRef>
          </c:xVal>
          <c:yVal>
            <c:numRef>
              <c:f>Визуализация2!$W$90:$W$98</c:f>
              <c:numCache>
                <c:formatCode>General</c:formatCode>
                <c:ptCount val="9"/>
                <c:pt idx="0">
                  <c:v>-0.48409</c:v>
                </c:pt>
                <c:pt idx="1">
                  <c:v>-0.595066</c:v>
                </c:pt>
                <c:pt idx="2">
                  <c:v>-0.308452</c:v>
                </c:pt>
                <c:pt idx="3">
                  <c:v>-0.749761</c:v>
                </c:pt>
                <c:pt idx="4">
                  <c:v>-0.989523</c:v>
                </c:pt>
                <c:pt idx="5">
                  <c:v>-0.60835</c:v>
                </c:pt>
                <c:pt idx="6">
                  <c:v>-0.453325</c:v>
                </c:pt>
                <c:pt idx="7">
                  <c:v>-0.249903</c:v>
                </c:pt>
                <c:pt idx="8">
                  <c:v>-0.000556</c:v>
                </c:pt>
              </c:numCache>
            </c:numRef>
          </c:yVal>
          <c:smooth val="0"/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Визуализация2!$V$99:$V$104</c:f>
              <c:numCache>
                <c:formatCode>General</c:formatCode>
                <c:ptCount val="6"/>
                <c:pt idx="0">
                  <c:v>-1.33841</c:v>
                </c:pt>
                <c:pt idx="1">
                  <c:v>-1.55584</c:v>
                </c:pt>
                <c:pt idx="2">
                  <c:v>-2.00542</c:v>
                </c:pt>
                <c:pt idx="3">
                  <c:v>-1.35277</c:v>
                </c:pt>
                <c:pt idx="4">
                  <c:v>-1.45602</c:v>
                </c:pt>
                <c:pt idx="5">
                  <c:v>-2.3431</c:v>
                </c:pt>
              </c:numCache>
            </c:numRef>
          </c:xVal>
          <c:yVal>
            <c:numRef>
              <c:f>Визуализация2!$W$99:$W$104</c:f>
              <c:numCache>
                <c:formatCode>General</c:formatCode>
                <c:ptCount val="6"/>
                <c:pt idx="0">
                  <c:v>-0.864968</c:v>
                </c:pt>
                <c:pt idx="1">
                  <c:v>-0.26616</c:v>
                </c:pt>
                <c:pt idx="2">
                  <c:v>-0.668617</c:v>
                </c:pt>
                <c:pt idx="3">
                  <c:v>-0.153724</c:v>
                </c:pt>
                <c:pt idx="4">
                  <c:v>-0.13223</c:v>
                </c:pt>
                <c:pt idx="5">
                  <c:v>-0.161402</c:v>
                </c:pt>
              </c:numCache>
            </c:numRef>
          </c:yVal>
          <c:smooth val="0"/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Визуализация2!$V$105:$V$106</c:f>
              <c:numCache>
                <c:formatCode>General</c:formatCode>
                <c:ptCount val="2"/>
                <c:pt idx="0">
                  <c:v>-0.75208</c:v>
                </c:pt>
                <c:pt idx="1">
                  <c:v>0.69666</c:v>
                </c:pt>
              </c:numCache>
            </c:numRef>
          </c:xVal>
          <c:yVal>
            <c:numRef>
              <c:f>Визуализация2!$W$105:$W$106</c:f>
              <c:numCache>
                <c:formatCode>General</c:formatCode>
                <c:ptCount val="2"/>
                <c:pt idx="0">
                  <c:v>4.058255</c:v>
                </c:pt>
                <c:pt idx="1">
                  <c:v>4.260723</c:v>
                </c:pt>
              </c:numCache>
            </c:numRef>
          </c:yVal>
          <c:smooth val="0"/>
        </c:ser>
        <c:ser>
          <c:idx val="4"/>
          <c:order val="4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Визуализация2!$V$107:$V$116</c:f>
              <c:numCache>
                <c:formatCode>General</c:formatCode>
                <c:ptCount val="10"/>
                <c:pt idx="0">
                  <c:v>0.51357</c:v>
                </c:pt>
                <c:pt idx="1">
                  <c:v>1.98565</c:v>
                </c:pt>
                <c:pt idx="2">
                  <c:v>1.1889</c:v>
                </c:pt>
                <c:pt idx="3">
                  <c:v>1.08157</c:v>
                </c:pt>
                <c:pt idx="4">
                  <c:v>0.88065</c:v>
                </c:pt>
                <c:pt idx="5">
                  <c:v>0.07437</c:v>
                </c:pt>
                <c:pt idx="6">
                  <c:v>0.16071</c:v>
                </c:pt>
                <c:pt idx="7">
                  <c:v>1.87772</c:v>
                </c:pt>
                <c:pt idx="8">
                  <c:v>0.48141</c:v>
                </c:pt>
                <c:pt idx="9">
                  <c:v>1.12926</c:v>
                </c:pt>
              </c:numCache>
            </c:numRef>
          </c:xVal>
          <c:yVal>
            <c:numRef>
              <c:f>Визуализация2!$W$107:$W$116</c:f>
              <c:numCache>
                <c:formatCode>General</c:formatCode>
                <c:ptCount val="10"/>
                <c:pt idx="0">
                  <c:v>0.972977</c:v>
                </c:pt>
                <c:pt idx="1">
                  <c:v>1.390577</c:v>
                </c:pt>
                <c:pt idx="2">
                  <c:v>1.88728</c:v>
                </c:pt>
                <c:pt idx="3">
                  <c:v>1.009081</c:v>
                </c:pt>
                <c:pt idx="4">
                  <c:v>0.979964</c:v>
                </c:pt>
                <c:pt idx="5">
                  <c:v>1.254434</c:v>
                </c:pt>
                <c:pt idx="6">
                  <c:v>1.327507</c:v>
                </c:pt>
                <c:pt idx="7">
                  <c:v>0.53997</c:v>
                </c:pt>
                <c:pt idx="8">
                  <c:v>1.644753</c:v>
                </c:pt>
                <c:pt idx="9">
                  <c:v>1.690975</c:v>
                </c:pt>
              </c:numCache>
            </c:numRef>
          </c:yVal>
          <c:smooth val="0"/>
        </c:ser>
        <c:ser>
          <c:idx val="5"/>
          <c:order val="5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Визуализация2!$V$117:$V$152</c:f>
              <c:numCache>
                <c:formatCode>General</c:formatCode>
                <c:ptCount val="36"/>
                <c:pt idx="0">
                  <c:v>0.21056</c:v>
                </c:pt>
                <c:pt idx="1">
                  <c:v>0.18992</c:v>
                </c:pt>
                <c:pt idx="2">
                  <c:v>-0.03034</c:v>
                </c:pt>
                <c:pt idx="3">
                  <c:v>-0.26208</c:v>
                </c:pt>
                <c:pt idx="4">
                  <c:v>0.26632</c:v>
                </c:pt>
                <c:pt idx="5">
                  <c:v>0.38446</c:v>
                </c:pt>
                <c:pt idx="6">
                  <c:v>0.07074</c:v>
                </c:pt>
                <c:pt idx="7">
                  <c:v>0.30368</c:v>
                </c:pt>
                <c:pt idx="8">
                  <c:v>0.14959</c:v>
                </c:pt>
                <c:pt idx="9">
                  <c:v>-0.0657</c:v>
                </c:pt>
                <c:pt idx="10">
                  <c:v>0.31282</c:v>
                </c:pt>
                <c:pt idx="11">
                  <c:v>0.38147</c:v>
                </c:pt>
                <c:pt idx="12">
                  <c:v>-0.22172</c:v>
                </c:pt>
                <c:pt idx="13">
                  <c:v>0.00769</c:v>
                </c:pt>
                <c:pt idx="14">
                  <c:v>0.03842</c:v>
                </c:pt>
                <c:pt idx="15">
                  <c:v>0.2823</c:v>
                </c:pt>
                <c:pt idx="16">
                  <c:v>0.28205</c:v>
                </c:pt>
                <c:pt idx="17">
                  <c:v>0.13868</c:v>
                </c:pt>
                <c:pt idx="18">
                  <c:v>0.48777</c:v>
                </c:pt>
                <c:pt idx="19">
                  <c:v>0.31329</c:v>
                </c:pt>
                <c:pt idx="20">
                  <c:v>-0.08206</c:v>
                </c:pt>
                <c:pt idx="21">
                  <c:v>0.08138</c:v>
                </c:pt>
                <c:pt idx="22">
                  <c:v>0.32624</c:v>
                </c:pt>
                <c:pt idx="23">
                  <c:v>-0.09755</c:v>
                </c:pt>
                <c:pt idx="24">
                  <c:v>-0.13631</c:v>
                </c:pt>
                <c:pt idx="25">
                  <c:v>-0.03922</c:v>
                </c:pt>
                <c:pt idx="26">
                  <c:v>0.00049</c:v>
                </c:pt>
                <c:pt idx="27">
                  <c:v>0.19858</c:v>
                </c:pt>
                <c:pt idx="28">
                  <c:v>-0.0956</c:v>
                </c:pt>
                <c:pt idx="29">
                  <c:v>0.13232</c:v>
                </c:pt>
                <c:pt idx="30">
                  <c:v>0.28007</c:v>
                </c:pt>
                <c:pt idx="31">
                  <c:v>0.01618</c:v>
                </c:pt>
                <c:pt idx="32">
                  <c:v>-0.03809</c:v>
                </c:pt>
                <c:pt idx="33">
                  <c:v>0.53003</c:v>
                </c:pt>
                <c:pt idx="34">
                  <c:v>0.05583</c:v>
                </c:pt>
                <c:pt idx="35">
                  <c:v>0.23052</c:v>
                </c:pt>
              </c:numCache>
            </c:numRef>
          </c:xVal>
          <c:yVal>
            <c:numRef>
              <c:f>Визуализация2!$W$117:$W$152</c:f>
              <c:numCache>
                <c:formatCode>General</c:formatCode>
                <c:ptCount val="36"/>
                <c:pt idx="0">
                  <c:v>-0.313787</c:v>
                </c:pt>
                <c:pt idx="1">
                  <c:v>-0.253995</c:v>
                </c:pt>
                <c:pt idx="2">
                  <c:v>-0.056678</c:v>
                </c:pt>
                <c:pt idx="3">
                  <c:v>0.226123</c:v>
                </c:pt>
                <c:pt idx="4">
                  <c:v>-0.61545</c:v>
                </c:pt>
                <c:pt idx="5">
                  <c:v>-0.544774</c:v>
                </c:pt>
                <c:pt idx="6">
                  <c:v>-0.253199</c:v>
                </c:pt>
                <c:pt idx="7">
                  <c:v>-0.067684</c:v>
                </c:pt>
                <c:pt idx="8">
                  <c:v>-0.146907</c:v>
                </c:pt>
                <c:pt idx="9">
                  <c:v>-0.036003</c:v>
                </c:pt>
                <c:pt idx="10">
                  <c:v>-0.34233</c:v>
                </c:pt>
                <c:pt idx="11">
                  <c:v>-0.053682</c:v>
                </c:pt>
                <c:pt idx="12">
                  <c:v>0.006699</c:v>
                </c:pt>
                <c:pt idx="13">
                  <c:v>-0.621859</c:v>
                </c:pt>
                <c:pt idx="14">
                  <c:v>-0.371945</c:v>
                </c:pt>
                <c:pt idx="15">
                  <c:v>-0.289623</c:v>
                </c:pt>
                <c:pt idx="16">
                  <c:v>-0.217957</c:v>
                </c:pt>
                <c:pt idx="17">
                  <c:v>-0.134001</c:v>
                </c:pt>
                <c:pt idx="18">
                  <c:v>-0.490705</c:v>
                </c:pt>
                <c:pt idx="19">
                  <c:v>-0.492457</c:v>
                </c:pt>
                <c:pt idx="20">
                  <c:v>-0.054138</c:v>
                </c:pt>
                <c:pt idx="21">
                  <c:v>-0.148364</c:v>
                </c:pt>
                <c:pt idx="22">
                  <c:v>-0.461201</c:v>
                </c:pt>
                <c:pt idx="23">
                  <c:v>-0.105275</c:v>
                </c:pt>
                <c:pt idx="24">
                  <c:v>-0.783412</c:v>
                </c:pt>
                <c:pt idx="25">
                  <c:v>-0.380046</c:v>
                </c:pt>
                <c:pt idx="26">
                  <c:v>-0.203316</c:v>
                </c:pt>
                <c:pt idx="27">
                  <c:v>-0.634975</c:v>
                </c:pt>
                <c:pt idx="28">
                  <c:v>-0.21541</c:v>
                </c:pt>
                <c:pt idx="29">
                  <c:v>-0.3302</c:v>
                </c:pt>
                <c:pt idx="30">
                  <c:v>-0.15216</c:v>
                </c:pt>
                <c:pt idx="31">
                  <c:v>0.235878</c:v>
                </c:pt>
                <c:pt idx="32">
                  <c:v>-0.260563</c:v>
                </c:pt>
                <c:pt idx="33">
                  <c:v>-0.108848</c:v>
                </c:pt>
                <c:pt idx="34">
                  <c:v>-0.246175</c:v>
                </c:pt>
                <c:pt idx="35">
                  <c:v>-0.129518</c:v>
                </c:pt>
              </c:numCache>
            </c:numRef>
          </c:yVal>
          <c:smooth val="0"/>
        </c:ser>
        <c:ser>
          <c:idx val="6"/>
          <c:order val="6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Визуализация2!$V$153:$V$173</c:f>
              <c:numCache>
                <c:formatCode>General</c:formatCode>
                <c:ptCount val="21"/>
                <c:pt idx="0">
                  <c:v>-0.54017</c:v>
                </c:pt>
                <c:pt idx="1">
                  <c:v>-0.18262</c:v>
                </c:pt>
                <c:pt idx="2">
                  <c:v>-0.23082</c:v>
                </c:pt>
                <c:pt idx="3">
                  <c:v>-0.43796</c:v>
                </c:pt>
                <c:pt idx="4">
                  <c:v>-0.94598</c:v>
                </c:pt>
                <c:pt idx="5">
                  <c:v>-0.13235</c:v>
                </c:pt>
                <c:pt idx="6">
                  <c:v>-0.28957</c:v>
                </c:pt>
                <c:pt idx="7">
                  <c:v>-0.8726</c:v>
                </c:pt>
                <c:pt idx="8">
                  <c:v>-0.22788</c:v>
                </c:pt>
                <c:pt idx="9">
                  <c:v>-0.21756</c:v>
                </c:pt>
                <c:pt idx="10">
                  <c:v>-0.79915</c:v>
                </c:pt>
                <c:pt idx="11">
                  <c:v>-0.93477</c:v>
                </c:pt>
                <c:pt idx="12">
                  <c:v>-0.63617</c:v>
                </c:pt>
                <c:pt idx="13">
                  <c:v>-0.15641</c:v>
                </c:pt>
                <c:pt idx="14">
                  <c:v>-0.20281</c:v>
                </c:pt>
                <c:pt idx="15">
                  <c:v>-0.22096</c:v>
                </c:pt>
                <c:pt idx="16">
                  <c:v>-0.61513</c:v>
                </c:pt>
                <c:pt idx="17">
                  <c:v>-0.27389</c:v>
                </c:pt>
                <c:pt idx="18">
                  <c:v>-0.47369</c:v>
                </c:pt>
                <c:pt idx="19">
                  <c:v>-0.35102</c:v>
                </c:pt>
                <c:pt idx="20">
                  <c:v>-0.70141</c:v>
                </c:pt>
              </c:numCache>
            </c:numRef>
          </c:xVal>
          <c:yVal>
            <c:numRef>
              <c:f>Визуализация2!$W$153:$W$173</c:f>
              <c:numCache>
                <c:formatCode>General</c:formatCode>
                <c:ptCount val="21"/>
                <c:pt idx="0">
                  <c:v>-0.464645</c:v>
                </c:pt>
                <c:pt idx="1">
                  <c:v>-0.401754</c:v>
                </c:pt>
                <c:pt idx="2">
                  <c:v>-0.390381</c:v>
                </c:pt>
                <c:pt idx="3">
                  <c:v>-0.123567</c:v>
                </c:pt>
                <c:pt idx="4">
                  <c:v>0.103381</c:v>
                </c:pt>
                <c:pt idx="5">
                  <c:v>-0.384385</c:v>
                </c:pt>
                <c:pt idx="6">
                  <c:v>-0.28207</c:v>
                </c:pt>
                <c:pt idx="7">
                  <c:v>-0.427925</c:v>
                </c:pt>
                <c:pt idx="8">
                  <c:v>-0.389662</c:v>
                </c:pt>
                <c:pt idx="9">
                  <c:v>-0.346233</c:v>
                </c:pt>
                <c:pt idx="10">
                  <c:v>-0.131269</c:v>
                </c:pt>
                <c:pt idx="11">
                  <c:v>-0.129907</c:v>
                </c:pt>
                <c:pt idx="12">
                  <c:v>0.021934</c:v>
                </c:pt>
                <c:pt idx="13">
                  <c:v>-0.287295</c:v>
                </c:pt>
                <c:pt idx="14">
                  <c:v>-0.470196</c:v>
                </c:pt>
                <c:pt idx="15">
                  <c:v>-0.560144</c:v>
                </c:pt>
                <c:pt idx="16">
                  <c:v>-0.436982</c:v>
                </c:pt>
                <c:pt idx="17">
                  <c:v>-0.33243</c:v>
                </c:pt>
                <c:pt idx="18">
                  <c:v>0.048068</c:v>
                </c:pt>
                <c:pt idx="19">
                  <c:v>-0.357106</c:v>
                </c:pt>
                <c:pt idx="20">
                  <c:v>0.013646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184062"/>
        <c:axId val="292666527"/>
      </c:scatterChart>
      <c:valAx>
        <c:axId val="28118406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2666527"/>
        <c:crosses val="autoZero"/>
        <c:crossBetween val="midCat"/>
      </c:valAx>
      <c:valAx>
        <c:axId val="29266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118406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061f6a4-ad7a-462c-82e3-308193c9cb7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7" Type="http://schemas.openxmlformats.org/officeDocument/2006/relationships/image" Target="../media/image3.png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4" Type="http://schemas.openxmlformats.org/officeDocument/2006/relationships/chart" Target="../charts/chart15.xml"/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0</xdr:colOff>
      <xdr:row>0</xdr:row>
      <xdr:rowOff>190499</xdr:rowOff>
    </xdr:from>
    <xdr:to>
      <xdr:col>20</xdr:col>
      <xdr:colOff>0</xdr:colOff>
      <xdr:row>17</xdr:row>
      <xdr:rowOff>9524</xdr:rowOff>
    </xdr:to>
    <xdr:graphicFrame>
      <xdr:nvGraphicFramePr>
        <xdr:cNvPr id="2" name="Диаграмма 1"/>
        <xdr:cNvGraphicFramePr/>
      </xdr:nvGraphicFramePr>
      <xdr:xfrm>
        <a:off x="6915150" y="184150"/>
        <a:ext cx="5657850" cy="29552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9524</xdr:colOff>
      <xdr:row>0</xdr:row>
      <xdr:rowOff>190499</xdr:rowOff>
    </xdr:from>
    <xdr:to>
      <xdr:col>28</xdr:col>
      <xdr:colOff>609599</xdr:colOff>
      <xdr:row>17</xdr:row>
      <xdr:rowOff>0</xdr:rowOff>
    </xdr:to>
    <xdr:graphicFrame>
      <xdr:nvGraphicFramePr>
        <xdr:cNvPr id="3" name="Диаграмма 2"/>
        <xdr:cNvGraphicFramePr/>
      </xdr:nvGraphicFramePr>
      <xdr:xfrm>
        <a:off x="12581890" y="184150"/>
        <a:ext cx="5629275" cy="294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17</xdr:row>
      <xdr:rowOff>19049</xdr:rowOff>
    </xdr:from>
    <xdr:to>
      <xdr:col>20</xdr:col>
      <xdr:colOff>0</xdr:colOff>
      <xdr:row>32</xdr:row>
      <xdr:rowOff>180974</xdr:rowOff>
    </xdr:to>
    <xdr:graphicFrame>
      <xdr:nvGraphicFramePr>
        <xdr:cNvPr id="4" name="Диаграмма 3"/>
        <xdr:cNvGraphicFramePr/>
      </xdr:nvGraphicFramePr>
      <xdr:xfrm>
        <a:off x="6915150" y="3148965"/>
        <a:ext cx="5657850" cy="2924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9524</xdr:colOff>
      <xdr:row>17</xdr:row>
      <xdr:rowOff>9524</xdr:rowOff>
    </xdr:from>
    <xdr:to>
      <xdr:col>28</xdr:col>
      <xdr:colOff>609599</xdr:colOff>
      <xdr:row>32</xdr:row>
      <xdr:rowOff>180975</xdr:rowOff>
    </xdr:to>
    <xdr:graphicFrame>
      <xdr:nvGraphicFramePr>
        <xdr:cNvPr id="5" name="Диаграмма 4"/>
        <xdr:cNvGraphicFramePr/>
      </xdr:nvGraphicFramePr>
      <xdr:xfrm>
        <a:off x="12581890" y="3139440"/>
        <a:ext cx="5629275" cy="2934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101600</xdr:colOff>
      <xdr:row>33</xdr:row>
      <xdr:rowOff>114300</xdr:rowOff>
    </xdr:from>
    <xdr:to>
      <xdr:col>27</xdr:col>
      <xdr:colOff>527050</xdr:colOff>
      <xdr:row>48</xdr:row>
      <xdr:rowOff>95250</xdr:rowOff>
    </xdr:to>
    <xdr:graphicFrame>
      <xdr:nvGraphicFramePr>
        <xdr:cNvPr id="6" name="Диаграмма 5"/>
        <xdr:cNvGraphicFramePr/>
      </xdr:nvGraphicFramePr>
      <xdr:xfrm>
        <a:off x="12674600" y="61912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600075</xdr:colOff>
      <xdr:row>0</xdr:row>
      <xdr:rowOff>19050</xdr:rowOff>
    </xdr:from>
    <xdr:to>
      <xdr:col>22</xdr:col>
      <xdr:colOff>523875</xdr:colOff>
      <xdr:row>30</xdr:row>
      <xdr:rowOff>19050</xdr:rowOff>
    </xdr:to>
    <xdr:sp>
      <xdr:nvSpPr>
        <xdr:cNvPr id="2" name="Надстройка 1" title="Bing Maps"/>
        <xdr:cNvSpPr>
          <a:spLocks noGrp="1"/>
        </xdr:cNvSpPr>
      </xdr:nvSpPr>
      <xdr:spPr>
        <a:xfrm>
          <a:off x="6257925" y="19050"/>
          <a:ext cx="8096250" cy="5524500"/>
        </a:xfrm>
      </xdr:spPr>
    </xdr:sp>
    <xdr:clientData/>
  </xdr:twoCellAnchor>
  <xdr:twoCellAnchor>
    <xdr:from>
      <xdr:col>9</xdr:col>
      <xdr:colOff>136524</xdr:colOff>
      <xdr:row>86</xdr:row>
      <xdr:rowOff>6350</xdr:rowOff>
    </xdr:from>
    <xdr:to>
      <xdr:col>20</xdr:col>
      <xdr:colOff>546099</xdr:colOff>
      <xdr:row>117</xdr:row>
      <xdr:rowOff>12700</xdr:rowOff>
    </xdr:to>
    <xdr:sp>
      <xdr:nvSpPr>
        <xdr:cNvPr id="3" name="Надстройка 2" title="Bing Maps"/>
        <xdr:cNvSpPr>
          <a:spLocks noGrp="1"/>
        </xdr:cNvSpPr>
      </xdr:nvSpPr>
      <xdr:spPr>
        <a:xfrm>
          <a:off x="5793740" y="15843250"/>
          <a:ext cx="7324725" cy="5715000"/>
        </a:xfrm>
      </xdr:spPr>
    </xdr:sp>
    <xdr:clientData/>
  </xdr:twoCellAnchor>
  <xdr:twoCellAnchor>
    <xdr:from>
      <xdr:col>9</xdr:col>
      <xdr:colOff>152400</xdr:colOff>
      <xdr:row>142</xdr:row>
      <xdr:rowOff>120650</xdr:rowOff>
    </xdr:from>
    <xdr:to>
      <xdr:col>20</xdr:col>
      <xdr:colOff>355600</xdr:colOff>
      <xdr:row>175</xdr:row>
      <xdr:rowOff>165100</xdr:rowOff>
    </xdr:to>
    <xdr:sp>
      <xdr:nvSpPr>
        <xdr:cNvPr id="4" name="Надстройка 3" title="Bing Maps"/>
        <xdr:cNvSpPr>
          <a:spLocks noGrp="1"/>
        </xdr:cNvSpPr>
      </xdr:nvSpPr>
      <xdr:spPr>
        <a:xfrm>
          <a:off x="5810250" y="26269950"/>
          <a:ext cx="7118350" cy="6121400"/>
        </a:xfrm>
      </xdr:spPr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238124</xdr:colOff>
      <xdr:row>87</xdr:row>
      <xdr:rowOff>171450</xdr:rowOff>
    </xdr:from>
    <xdr:to>
      <xdr:col>21</xdr:col>
      <xdr:colOff>387349</xdr:colOff>
      <xdr:row>106</xdr:row>
      <xdr:rowOff>165100</xdr:rowOff>
    </xdr:to>
    <xdr:graphicFrame>
      <xdr:nvGraphicFramePr>
        <xdr:cNvPr id="11" name="Диаграмма 10"/>
        <xdr:cNvGraphicFramePr/>
      </xdr:nvGraphicFramePr>
      <xdr:xfrm>
        <a:off x="11134090" y="16192500"/>
        <a:ext cx="7108825" cy="3492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269874</xdr:colOff>
      <xdr:row>107</xdr:row>
      <xdr:rowOff>6350</xdr:rowOff>
    </xdr:from>
    <xdr:to>
      <xdr:col>21</xdr:col>
      <xdr:colOff>393700</xdr:colOff>
      <xdr:row>125</xdr:row>
      <xdr:rowOff>76200</xdr:rowOff>
    </xdr:to>
    <xdr:graphicFrame>
      <xdr:nvGraphicFramePr>
        <xdr:cNvPr id="12" name="Диаграмма 11"/>
        <xdr:cNvGraphicFramePr/>
      </xdr:nvGraphicFramePr>
      <xdr:xfrm>
        <a:off x="11165840" y="19710400"/>
        <a:ext cx="7084060" cy="3384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409574</xdr:colOff>
      <xdr:row>88</xdr:row>
      <xdr:rowOff>6350</xdr:rowOff>
    </xdr:from>
    <xdr:to>
      <xdr:col>30</xdr:col>
      <xdr:colOff>19049</xdr:colOff>
      <xdr:row>106</xdr:row>
      <xdr:rowOff>165100</xdr:rowOff>
    </xdr:to>
    <xdr:graphicFrame>
      <xdr:nvGraphicFramePr>
        <xdr:cNvPr id="13" name="Диаграмма 12"/>
        <xdr:cNvGraphicFramePr/>
      </xdr:nvGraphicFramePr>
      <xdr:xfrm>
        <a:off x="18265140" y="16211550"/>
        <a:ext cx="5095875" cy="3473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409574</xdr:colOff>
      <xdr:row>107</xdr:row>
      <xdr:rowOff>6350</xdr:rowOff>
    </xdr:from>
    <xdr:to>
      <xdr:col>29</xdr:col>
      <xdr:colOff>590549</xdr:colOff>
      <xdr:row>125</xdr:row>
      <xdr:rowOff>76200</xdr:rowOff>
    </xdr:to>
    <xdr:graphicFrame>
      <xdr:nvGraphicFramePr>
        <xdr:cNvPr id="14" name="Диаграмма 13"/>
        <xdr:cNvGraphicFramePr/>
      </xdr:nvGraphicFramePr>
      <xdr:xfrm>
        <a:off x="18265140" y="19710400"/>
        <a:ext cx="5057775" cy="3384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324485</xdr:colOff>
      <xdr:row>69</xdr:row>
      <xdr:rowOff>84455</xdr:rowOff>
    </xdr:from>
    <xdr:to>
      <xdr:col>19</xdr:col>
      <xdr:colOff>29845</xdr:colOff>
      <xdr:row>87</xdr:row>
      <xdr:rowOff>132080</xdr:rowOff>
    </xdr:to>
    <xdr:pic>
      <xdr:nvPicPr>
        <xdr:cNvPr id="2" name="Изображение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198985" y="12790805"/>
          <a:ext cx="4467860" cy="33623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22</xdr:col>
      <xdr:colOff>262255</xdr:colOff>
      <xdr:row>70</xdr:row>
      <xdr:rowOff>39370</xdr:rowOff>
    </xdr:from>
    <xdr:to>
      <xdr:col>29</xdr:col>
      <xdr:colOff>405765</xdr:colOff>
      <xdr:row>87</xdr:row>
      <xdr:rowOff>135255</xdr:rowOff>
    </xdr:to>
    <xdr:pic>
      <xdr:nvPicPr>
        <xdr:cNvPr id="3" name="Изображение 2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8728055" y="12929870"/>
          <a:ext cx="4410710" cy="322643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13</xdr:col>
      <xdr:colOff>264160</xdr:colOff>
      <xdr:row>125</xdr:row>
      <xdr:rowOff>129540</xdr:rowOff>
    </xdr:from>
    <xdr:to>
      <xdr:col>19</xdr:col>
      <xdr:colOff>363855</xdr:colOff>
      <xdr:row>144</xdr:row>
      <xdr:rowOff>184150</xdr:rowOff>
    </xdr:to>
    <xdr:pic>
      <xdr:nvPicPr>
        <xdr:cNvPr id="4" name="Изображение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2138660" y="23148290"/>
          <a:ext cx="4862195" cy="35534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22</xdr:col>
      <xdr:colOff>187960</xdr:colOff>
      <xdr:row>126</xdr:row>
      <xdr:rowOff>84455</xdr:rowOff>
    </xdr:from>
    <xdr:to>
      <xdr:col>30</xdr:col>
      <xdr:colOff>106045</xdr:colOff>
      <xdr:row>145</xdr:row>
      <xdr:rowOff>44450</xdr:rowOff>
    </xdr:to>
    <xdr:pic>
      <xdr:nvPicPr>
        <xdr:cNvPr id="5" name="Изображение 2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8653760" y="23287355"/>
          <a:ext cx="4794885" cy="34588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393700</xdr:colOff>
      <xdr:row>0</xdr:row>
      <xdr:rowOff>139700</xdr:rowOff>
    </xdr:from>
    <xdr:to>
      <xdr:col>12</xdr:col>
      <xdr:colOff>19050</xdr:colOff>
      <xdr:row>14</xdr:row>
      <xdr:rowOff>177800</xdr:rowOff>
    </xdr:to>
    <xdr:graphicFrame>
      <xdr:nvGraphicFramePr>
        <xdr:cNvPr id="4" name="Диаграмма 3"/>
        <xdr:cNvGraphicFramePr/>
      </xdr:nvGraphicFramePr>
      <xdr:xfrm>
        <a:off x="3327400" y="139700"/>
        <a:ext cx="4502150" cy="2654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400050</xdr:colOff>
      <xdr:row>15</xdr:row>
      <xdr:rowOff>12700</xdr:rowOff>
    </xdr:from>
    <xdr:to>
      <xdr:col>12</xdr:col>
      <xdr:colOff>31750</xdr:colOff>
      <xdr:row>29</xdr:row>
      <xdr:rowOff>31750</xdr:rowOff>
    </xdr:to>
    <xdr:graphicFrame>
      <xdr:nvGraphicFramePr>
        <xdr:cNvPr id="5" name="Диаграмма 4"/>
        <xdr:cNvGraphicFramePr/>
      </xdr:nvGraphicFramePr>
      <xdr:xfrm>
        <a:off x="3333750" y="2813050"/>
        <a:ext cx="4508500" cy="2597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19050</xdr:colOff>
      <xdr:row>88</xdr:row>
      <xdr:rowOff>19050</xdr:rowOff>
    </xdr:from>
    <xdr:to>
      <xdr:col>11</xdr:col>
      <xdr:colOff>587375</xdr:colOff>
      <xdr:row>106</xdr:row>
      <xdr:rowOff>182245</xdr:rowOff>
    </xdr:to>
    <xdr:graphicFrame>
      <xdr:nvGraphicFramePr>
        <xdr:cNvPr id="2" name="Диаграмма 1"/>
        <xdr:cNvGraphicFramePr/>
      </xdr:nvGraphicFramePr>
      <xdr:xfrm>
        <a:off x="2628900" y="16233775"/>
        <a:ext cx="5019675" cy="34778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215900</xdr:colOff>
      <xdr:row>107</xdr:row>
      <xdr:rowOff>88900</xdr:rowOff>
    </xdr:from>
    <xdr:to>
      <xdr:col>11</xdr:col>
      <xdr:colOff>590550</xdr:colOff>
      <xdr:row>129</xdr:row>
      <xdr:rowOff>88900</xdr:rowOff>
    </xdr:to>
    <xdr:graphicFrame>
      <xdr:nvGraphicFramePr>
        <xdr:cNvPr id="3" name="Диаграмма 2"/>
        <xdr:cNvGraphicFramePr/>
      </xdr:nvGraphicFramePr>
      <xdr:xfrm>
        <a:off x="2825750" y="19802475"/>
        <a:ext cx="4826000" cy="4051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112395</xdr:colOff>
      <xdr:row>107</xdr:row>
      <xdr:rowOff>148590</xdr:rowOff>
    </xdr:from>
    <xdr:to>
      <xdr:col>20</xdr:col>
      <xdr:colOff>61595</xdr:colOff>
      <xdr:row>129</xdr:row>
      <xdr:rowOff>94615</xdr:rowOff>
    </xdr:to>
    <xdr:graphicFrame>
      <xdr:nvGraphicFramePr>
        <xdr:cNvPr id="4" name="Диаграмма 3"/>
        <xdr:cNvGraphicFramePr/>
      </xdr:nvGraphicFramePr>
      <xdr:xfrm>
        <a:off x="7783195" y="19862165"/>
        <a:ext cx="4826000" cy="3997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596265</xdr:colOff>
      <xdr:row>87</xdr:row>
      <xdr:rowOff>177165</xdr:rowOff>
    </xdr:from>
    <xdr:to>
      <xdr:col>20</xdr:col>
      <xdr:colOff>45085</xdr:colOff>
      <xdr:row>107</xdr:row>
      <xdr:rowOff>81280</xdr:rowOff>
    </xdr:to>
    <xdr:graphicFrame>
      <xdr:nvGraphicFramePr>
        <xdr:cNvPr id="5" name="Диаграмма 4"/>
        <xdr:cNvGraphicFramePr/>
      </xdr:nvGraphicFramePr>
      <xdr:xfrm>
        <a:off x="7657465" y="16207740"/>
        <a:ext cx="4935220" cy="35871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Таблица1" displayName="Таблица1" ref="A1:BX87" totalsRowCount="1">
  <autoFilter xmlns:etc="http://www.wps.cn/officeDocument/2017/etCustomData" ref="A1:BX86" etc:filterBottomFollowUsedRange="0"/>
  <sortState ref="A1:BX86">
    <sortCondition ref="A1"/>
  </sortState>
  <tableColumns count="76">
    <tableColumn id="1" name="Регион" dataDxfId="0"/>
    <tableColumn id="2" name="X1" dataDxfId="1" totalsRowFunction="average"/>
    <tableColumn id="3" name="X2" dataDxfId="2" totalsRowFunction="average"/>
    <tableColumn id="4" name="X3" dataDxfId="3" totalsRowFunction="average"/>
    <tableColumn id="5" name="X4" dataDxfId="4" totalsRowFunction="average"/>
    <tableColumn id="6" name="X5" dataDxfId="5" totalsRowFunction="average"/>
    <tableColumn id="7" name="X6" dataDxfId="6" totalsRowFunction="average"/>
    <tableColumn id="8" name="X7" dataDxfId="7" totalsRowFunction="average"/>
    <tableColumn id="9" name="X8" dataDxfId="8" totalsRowFunction="average"/>
    <tableColumn id="10" name="X9" dataDxfId="9" totalsRowFunction="average"/>
    <tableColumn id="11" name="Полная связь" dataDxfId="10"/>
    <tableColumn id="12" name="Невзв. Попарное ср. " dataDxfId="11"/>
    <tableColumn id="13" name="Метод Уорда" dataDxfId="12"/>
    <tableColumn id="15" name="Метод К-средних" dataDxfId="13"/>
    <tableColumn id="17" name="раст^2" dataDxfId="14" totalsRowFunction="sum">
      <calculatedColumnFormula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calculatedColumnFormula>
    </tableColumn>
    <tableColumn id="16" name="Обуч.выборка" totalsRowFunction="count"/>
    <tableColumn id="14" name="дискрим"/>
    <tableColumn id="18" name="1"/>
    <tableColumn id="19" name="2"/>
    <tableColumn id="20" name="3"/>
    <tableColumn id="21" name="4"/>
    <tableColumn id="22" name="5"/>
    <tableColumn id="23" name="6"/>
    <tableColumn id="24" name="7"/>
    <tableColumn id="69" name="классификация" dataDxfId="15">
      <calculatedColumnFormula>VALUE(RIGHT(R2,1))</calculatedColumnFormula>
    </tableColumn>
    <tableColumn id="43" name="махаланобис"/>
    <tableColumn id="44" name="12"/>
    <tableColumn id="45" name="22"/>
    <tableColumn id="46" name="32"/>
    <tableColumn id="47" name="42"/>
    <tableColumn id="48" name="52"/>
    <tableColumn id="49" name="62"/>
    <tableColumn id="51" name="72"/>
    <tableColumn id="50" name="классиф по раст махаланобиса" dataDxfId="16">
      <calculatedColumnFormula>MATCH(MIN(AA2:AG2),AA2:AG2,0)</calculatedColumnFormula>
    </tableColumn>
    <tableColumn id="25" name="апостериорная"/>
    <tableColumn id="26" name="13"/>
    <tableColumn id="27" name="23"/>
    <tableColumn id="28" name="33"/>
    <tableColumn id="29" name="43"/>
    <tableColumn id="30" name="53"/>
    <tableColumn id="31" name="63"/>
    <tableColumn id="32" name="73"/>
    <tableColumn id="33" name="классиф по апостер вер" dataDxfId="17">
      <calculatedColumnFormula>MATCH(MAX(AJ2:AP2),AJ2:AP2,0)</calculatedColumnFormula>
    </tableColumn>
    <tableColumn id="34" name="дискриминантный"/>
    <tableColumn id="35" name="14"/>
    <tableColumn id="36" name="24"/>
    <tableColumn id="37" name="34"/>
    <tableColumn id="38" name="44"/>
    <tableColumn id="39" name="54"/>
    <tableColumn id="40" name="64"/>
    <tableColumn id="41" name="74"/>
    <tableColumn id="70" name="классификация2" dataDxfId="18">
      <calculatedColumnFormula>VALUE(RIGHT(AS2,1))</calculatedColumnFormula>
    </tableColumn>
    <tableColumn id="42" name="махалонобис"/>
    <tableColumn id="52" name="15"/>
    <tableColumn id="53" name="25"/>
    <tableColumn id="54" name="35"/>
    <tableColumn id="55" name="45"/>
    <tableColumn id="56" name="55"/>
    <tableColumn id="57" name="65"/>
    <tableColumn id="58" name="75"/>
    <tableColumn id="59" name="классиф по раст махаланобиса2" dataDxfId="19">
      <calculatedColumnFormula>MATCH(MIN(BB2:BH2),BB2:BH2,0)</calculatedColumnFormula>
    </tableColumn>
    <tableColumn id="60" name="апостериорная вероятность"/>
    <tableColumn id="61" name="16"/>
    <tableColumn id="62" name="26"/>
    <tableColumn id="63" name="36"/>
    <tableColumn id="64" name="46"/>
    <tableColumn id="65" name="56"/>
    <tableColumn id="66" name="66"/>
    <tableColumn id="67" name="76"/>
    <tableColumn id="68" name="классиф по апостер вер2" dataDxfId="20">
      <calculatedColumnFormula>MATCH(MAX(BK2:BQ2),BK2:BQ2,0)</calculatedColumnFormula>
    </tableColumn>
    <tableColumn id="71" name="точность" dataDxfId="21" totalsRowFunction="custom">
      <calculatedColumnFormula>IF(P2=Y2,1,0)</calculatedColumnFormula>
      <totalsRowFormula>100*SUM(BS2:BS86)/COUNT(P2:P86)</totalsRowFormula>
    </tableColumn>
    <tableColumn id="72" name="точность2" dataDxfId="22" totalsRowFunction="custom">
      <calculatedColumnFormula>IF(P2=AZ2,1,0)</calculatedColumnFormula>
      <totalsRowFormula>100*SUM(BT2:BT86)/COUNT(P2:P86)</totalsRowFormula>
    </tableColumn>
    <tableColumn id="73" name="соответствие" dataDxfId="23" totalsRowFunction="custom">
      <calculatedColumnFormula>IF(N2=Y2,1,0)</calculatedColumnFormula>
      <totalsRowFormula>100*SUM(BU2:BU86)/COUNT(N2:N86)</totalsRowFormula>
    </tableColumn>
    <tableColumn id="74" name="соответствие2" dataDxfId="24" totalsRowFunction="custom">
      <calculatedColumnFormula>IF(N2=AZ2,1,0)</calculatedColumnFormula>
      <totalsRowFormula>100*SUM(BV2:BV86)/COUNT(N2:N86)</totalsRowFormula>
    </tableColumn>
    <tableColumn id="75" name="новый Уорд"/>
    <tableColumn id="76" name="новый К-средних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3" name="Таблица3" displayName="Таблица3" ref="A1:G87" totalsRowCount="1">
  <autoFilter xmlns:etc="http://www.wps.cn/officeDocument/2017/etCustomData" ref="A1:G86" etc:filterBottomFollowUsedRange="0"/>
  <sortState ref="A1:G86">
    <sortCondition ref="A1"/>
  </sortState>
  <tableColumns count="7">
    <tableColumn id="1" name="Регионы" dataDxfId="25"/>
    <tableColumn id="2" name="z1" dataDxfId="26" totalsRowFunction="average"/>
    <tableColumn id="3" name="z2" dataDxfId="27" totalsRowFunction="average"/>
    <tableColumn id="4" name="метод Уода" dataDxfId="28"/>
    <tableColumn id="5" name="метод К-средних"/>
    <tableColumn id="6" name="старый Уорд" dataDxfId="29"/>
    <tableColumn id="7" name="Старый К-средних" dataDxfId="30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4" name="Таблица4" displayName="Таблица4" ref="A1:L86" totalsRowShown="0">
  <autoFilter xmlns:etc="http://www.wps.cn/officeDocument/2017/etCustomData" ref="A1:L86" etc:filterBottomFollowUsedRange="0"/>
  <sortState ref="A1:L86">
    <sortCondition ref="I1"/>
  </sortState>
  <tableColumns count="12">
    <tableColumn id="1" name="Регион" dataDxfId="31"/>
    <tableColumn id="2" name="f1" dataDxfId="32"/>
    <tableColumn id="3" name="f2" dataDxfId="33"/>
    <tableColumn id="4" name="f3" dataDxfId="34"/>
    <tableColumn id="5" name="Уорд" dataDxfId="35"/>
    <tableColumn id="6" name="К-средних" dataDxfId="36"/>
    <tableColumn id="7" name="f12"/>
    <tableColumn id="8" name="f22"/>
    <tableColumn id="9" name="Уорд2"/>
    <tableColumn id="10" name="К-средних2"/>
    <tableColumn id="11" name="Уорд старый"/>
    <tableColumn id="12" name="К-средних старый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6"/>
  <sheetViews>
    <sheetView topLeftCell="A69" workbookViewId="0">
      <selection activeCell="A1" sqref="A1:A86"/>
    </sheetView>
  </sheetViews>
  <sheetFormatPr defaultColWidth="9.09090909090909" defaultRowHeight="14.5"/>
  <cols>
    <col min="3" max="3" width="9.63636363636364"/>
    <col min="8" max="8" width="9.45454545454546"/>
  </cols>
  <sheetData>
    <row r="1" spans="1:10">
      <c r="A1" s="1" t="s">
        <v>0</v>
      </c>
      <c r="B1" s="44" t="s">
        <v>1</v>
      </c>
      <c r="C1" s="45" t="s">
        <v>2</v>
      </c>
      <c r="D1" s="46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</row>
    <row r="2" spans="1:12">
      <c r="A2" s="2" t="s">
        <v>10</v>
      </c>
      <c r="B2" s="48">
        <v>7.307714025</v>
      </c>
      <c r="C2" s="48">
        <v>15521</v>
      </c>
      <c r="D2" s="49">
        <v>1260.8</v>
      </c>
      <c r="E2" s="50">
        <v>3.6</v>
      </c>
      <c r="F2" s="50">
        <v>222</v>
      </c>
      <c r="G2" s="50">
        <v>106.4</v>
      </c>
      <c r="H2" s="50">
        <v>25062</v>
      </c>
      <c r="I2" s="50">
        <v>20.6725243485472</v>
      </c>
      <c r="J2" s="50">
        <v>2.3365085646315</v>
      </c>
      <c r="L2" t="s">
        <v>1</v>
      </c>
    </row>
    <row r="3" spans="1:12">
      <c r="A3" s="2" t="s">
        <v>11</v>
      </c>
      <c r="B3" s="48">
        <v>9.940990993</v>
      </c>
      <c r="C3" s="48">
        <v>17029</v>
      </c>
      <c r="D3" s="49">
        <v>930.5</v>
      </c>
      <c r="E3" s="50">
        <v>3.6</v>
      </c>
      <c r="F3" s="50">
        <v>439</v>
      </c>
      <c r="G3" s="50">
        <v>103.3</v>
      </c>
      <c r="H3" s="50">
        <v>35974</v>
      </c>
      <c r="I3" s="50">
        <v>74.3534539482342</v>
      </c>
      <c r="J3" s="50">
        <v>2.49116970484969</v>
      </c>
      <c r="L3" t="s">
        <v>2</v>
      </c>
    </row>
    <row r="4" spans="1:12">
      <c r="A4" s="2" t="s">
        <v>12</v>
      </c>
      <c r="B4" s="48">
        <v>7.26800859</v>
      </c>
      <c r="C4" s="48">
        <v>21088</v>
      </c>
      <c r="D4" s="49">
        <v>1219.1</v>
      </c>
      <c r="E4" s="50">
        <v>4.8</v>
      </c>
      <c r="F4" s="50">
        <v>1314</v>
      </c>
      <c r="G4" s="50">
        <v>107.1</v>
      </c>
      <c r="H4" s="50">
        <v>38454</v>
      </c>
      <c r="I4" s="50">
        <v>63.2314684348097</v>
      </c>
      <c r="J4" s="50">
        <v>1.94748796745385</v>
      </c>
      <c r="L4" t="s">
        <v>3</v>
      </c>
    </row>
    <row r="5" spans="1:12">
      <c r="A5" s="2" t="s">
        <v>13</v>
      </c>
      <c r="B5" s="48">
        <v>6.124733274</v>
      </c>
      <c r="C5" s="48">
        <v>14966</v>
      </c>
      <c r="D5" s="49">
        <v>782.3</v>
      </c>
      <c r="E5" s="50">
        <v>6.8</v>
      </c>
      <c r="F5" s="50">
        <v>424</v>
      </c>
      <c r="G5" s="50">
        <v>117.8</v>
      </c>
      <c r="H5" s="50">
        <v>26164</v>
      </c>
      <c r="I5" s="50">
        <v>63.5110945288231</v>
      </c>
      <c r="J5" s="50">
        <v>1.41170700215057</v>
      </c>
      <c r="L5" t="s">
        <v>4</v>
      </c>
    </row>
    <row r="6" spans="1:12">
      <c r="A6" s="2" t="s">
        <v>14</v>
      </c>
      <c r="B6" s="48">
        <v>7.394971865</v>
      </c>
      <c r="C6" s="48">
        <v>16709</v>
      </c>
      <c r="D6" s="49">
        <v>801.7</v>
      </c>
      <c r="E6" s="50">
        <v>3</v>
      </c>
      <c r="F6" s="50">
        <v>782</v>
      </c>
      <c r="G6" s="50">
        <v>144</v>
      </c>
      <c r="H6" s="50">
        <v>32092</v>
      </c>
      <c r="I6" s="50">
        <v>27.9908960757681</v>
      </c>
      <c r="J6" s="50">
        <v>2.85087604293948</v>
      </c>
      <c r="L6" t="s">
        <v>5</v>
      </c>
    </row>
    <row r="7" spans="1:12">
      <c r="A7" s="2" t="s">
        <v>15</v>
      </c>
      <c r="B7" s="48">
        <v>6.412215058</v>
      </c>
      <c r="C7" s="48">
        <v>15705</v>
      </c>
      <c r="D7" s="49">
        <v>908.2</v>
      </c>
      <c r="E7" s="50">
        <v>3.3</v>
      </c>
      <c r="F7" s="50">
        <v>845</v>
      </c>
      <c r="G7" s="50">
        <v>134.4</v>
      </c>
      <c r="H7" s="50">
        <v>30320</v>
      </c>
      <c r="I7" s="50">
        <v>33.4032471063466</v>
      </c>
      <c r="J7" s="50">
        <v>1.84019955634964</v>
      </c>
      <c r="L7" t="s">
        <v>6</v>
      </c>
    </row>
    <row r="8" spans="1:12">
      <c r="A8" s="2" t="s">
        <v>16</v>
      </c>
      <c r="B8" s="48">
        <v>6.645315293</v>
      </c>
      <c r="C8" s="48">
        <v>16717</v>
      </c>
      <c r="D8" s="49">
        <v>1064.9</v>
      </c>
      <c r="E8" s="50">
        <v>2.6</v>
      </c>
      <c r="F8" s="50">
        <v>1187</v>
      </c>
      <c r="G8" s="50">
        <v>119.4</v>
      </c>
      <c r="H8" s="50">
        <v>26020</v>
      </c>
      <c r="I8" s="50">
        <v>28.4135209375412</v>
      </c>
      <c r="J8" s="50">
        <v>2.04217496131563</v>
      </c>
      <c r="L8" t="s">
        <v>7</v>
      </c>
    </row>
    <row r="9" spans="1:12">
      <c r="A9" s="2" t="s">
        <v>17</v>
      </c>
      <c r="B9" s="48">
        <v>6.242363281</v>
      </c>
      <c r="C9" s="48">
        <v>15974</v>
      </c>
      <c r="D9" s="49">
        <v>730.7</v>
      </c>
      <c r="E9" s="50">
        <v>3</v>
      </c>
      <c r="F9" s="50">
        <v>1387</v>
      </c>
      <c r="G9" s="50">
        <v>117.7</v>
      </c>
      <c r="H9" s="50">
        <v>26225</v>
      </c>
      <c r="I9" s="50">
        <v>17.8928941030824</v>
      </c>
      <c r="J9" s="50">
        <v>1.55555340625897</v>
      </c>
      <c r="L9" t="s">
        <v>8</v>
      </c>
    </row>
    <row r="10" spans="1:12">
      <c r="A10" s="2" t="s">
        <v>18</v>
      </c>
      <c r="B10" s="48">
        <v>6.424647782</v>
      </c>
      <c r="C10" s="48">
        <v>17618</v>
      </c>
      <c r="D10" s="49">
        <v>1154.2</v>
      </c>
      <c r="E10" s="50">
        <v>3.9</v>
      </c>
      <c r="F10" s="50">
        <v>1095</v>
      </c>
      <c r="G10" s="50">
        <v>131</v>
      </c>
      <c r="H10" s="50">
        <v>27089</v>
      </c>
      <c r="I10" s="50">
        <v>31.7571495488279</v>
      </c>
      <c r="J10" s="50">
        <v>1.42995387274028</v>
      </c>
      <c r="L10" t="s">
        <v>9</v>
      </c>
    </row>
    <row r="11" spans="1:10">
      <c r="A11" s="2" t="s">
        <v>19</v>
      </c>
      <c r="B11" s="48">
        <v>7.310537418</v>
      </c>
      <c r="C11" s="48">
        <v>15732</v>
      </c>
      <c r="D11" s="49">
        <v>675.7</v>
      </c>
      <c r="E11" s="50">
        <v>3.2</v>
      </c>
      <c r="F11" s="50">
        <v>386</v>
      </c>
      <c r="G11" s="50">
        <v>127.7</v>
      </c>
      <c r="H11" s="50">
        <v>33735</v>
      </c>
      <c r="I11" s="50">
        <v>23.4094131996832</v>
      </c>
      <c r="J11" s="50">
        <v>2.49177292084523</v>
      </c>
    </row>
    <row r="12" spans="1:10">
      <c r="A12" s="2" t="s">
        <v>20</v>
      </c>
      <c r="B12" s="48">
        <v>7.906567174</v>
      </c>
      <c r="C12" s="48">
        <v>18239</v>
      </c>
      <c r="D12" s="49">
        <v>728.6</v>
      </c>
      <c r="E12" s="50">
        <v>1.9</v>
      </c>
      <c r="F12" s="50">
        <v>1208</v>
      </c>
      <c r="G12" s="50">
        <v>175</v>
      </c>
      <c r="H12" s="50">
        <v>65722</v>
      </c>
      <c r="I12" s="50">
        <v>5.49019307561841</v>
      </c>
      <c r="J12" s="50">
        <v>1.63174357658896</v>
      </c>
    </row>
    <row r="13" spans="1:10">
      <c r="A13" s="2" t="s">
        <v>21</v>
      </c>
      <c r="B13" s="48">
        <v>9.056080367</v>
      </c>
      <c r="C13" s="48">
        <v>16401</v>
      </c>
      <c r="D13" s="49">
        <v>763.1</v>
      </c>
      <c r="E13" s="50">
        <v>5.7</v>
      </c>
      <c r="F13" s="50">
        <v>4450</v>
      </c>
      <c r="G13" s="50">
        <v>82</v>
      </c>
      <c r="H13" s="50">
        <v>27496</v>
      </c>
      <c r="I13" s="50">
        <v>242.393229149132</v>
      </c>
      <c r="J13" s="50">
        <v>2.32966825793333</v>
      </c>
    </row>
    <row r="14" spans="1:10">
      <c r="A14" s="2" t="s">
        <v>22</v>
      </c>
      <c r="B14" s="48">
        <v>8.652508746</v>
      </c>
      <c r="C14" s="48">
        <v>15738</v>
      </c>
      <c r="D14" s="49">
        <v>864.4</v>
      </c>
      <c r="E14" s="50">
        <v>9.1</v>
      </c>
      <c r="F14" s="50">
        <v>2037</v>
      </c>
      <c r="G14" s="50">
        <v>99.4</v>
      </c>
      <c r="H14" s="50">
        <v>27644</v>
      </c>
      <c r="I14" s="50">
        <v>52.8864777204423</v>
      </c>
      <c r="J14" s="50">
        <v>1.49727940718975</v>
      </c>
    </row>
    <row r="15" spans="1:10">
      <c r="A15" s="2" t="s">
        <v>23</v>
      </c>
      <c r="B15" s="48">
        <v>6.867372909</v>
      </c>
      <c r="C15" s="48">
        <v>16133</v>
      </c>
      <c r="D15" s="49">
        <v>1061.7</v>
      </c>
      <c r="E15" s="50">
        <v>3.3</v>
      </c>
      <c r="F15" s="50">
        <v>174</v>
      </c>
      <c r="G15" s="50">
        <v>112.7</v>
      </c>
      <c r="H15" s="50">
        <v>28872</v>
      </c>
      <c r="I15" s="50">
        <v>51.2279480542081</v>
      </c>
      <c r="J15" s="50">
        <v>1.78047029649127</v>
      </c>
    </row>
    <row r="16" spans="1:10">
      <c r="A16" s="2" t="s">
        <v>24</v>
      </c>
      <c r="B16" s="48">
        <v>8.107382459</v>
      </c>
      <c r="C16" s="48">
        <v>17363</v>
      </c>
      <c r="D16" s="49">
        <v>1072.2</v>
      </c>
      <c r="E16" s="50">
        <v>5</v>
      </c>
      <c r="F16" s="50">
        <v>301</v>
      </c>
      <c r="G16" s="50">
        <v>113</v>
      </c>
      <c r="H16" s="50">
        <v>26644</v>
      </c>
      <c r="I16" s="50">
        <v>20.6040688150409</v>
      </c>
      <c r="J16" s="50">
        <v>1.44016068624719</v>
      </c>
    </row>
    <row r="17" spans="1:10">
      <c r="A17" s="2" t="s">
        <v>25</v>
      </c>
      <c r="B17" s="48">
        <v>4.732231175</v>
      </c>
      <c r="C17" s="48">
        <v>12981</v>
      </c>
      <c r="D17" s="49">
        <v>471.2</v>
      </c>
      <c r="E17" s="50">
        <v>9.4</v>
      </c>
      <c r="F17" s="50">
        <v>514</v>
      </c>
      <c r="G17" s="50">
        <v>150.7</v>
      </c>
      <c r="H17" s="50">
        <v>27903</v>
      </c>
      <c r="I17" s="50">
        <v>50.2322411324604</v>
      </c>
      <c r="J17" s="50">
        <v>1.6994872770806</v>
      </c>
    </row>
    <row r="18" spans="1:10">
      <c r="A18" s="2" t="s">
        <v>26</v>
      </c>
      <c r="B18" s="48">
        <v>9.395528182</v>
      </c>
      <c r="C18" s="48">
        <v>16088</v>
      </c>
      <c r="D18" s="49">
        <v>799.1</v>
      </c>
      <c r="E18" s="50">
        <v>2.8</v>
      </c>
      <c r="F18" s="50">
        <v>354</v>
      </c>
      <c r="G18" s="50">
        <v>125.2</v>
      </c>
      <c r="H18" s="50">
        <v>30826</v>
      </c>
      <c r="I18" s="50">
        <v>47.9808774393914</v>
      </c>
      <c r="J18" s="50">
        <v>1.61099430917714</v>
      </c>
    </row>
    <row r="19" spans="1:10">
      <c r="A19" s="2" t="s">
        <v>27</v>
      </c>
      <c r="B19" s="48">
        <v>6.462367066</v>
      </c>
      <c r="C19" s="48">
        <v>16721</v>
      </c>
      <c r="D19" s="49">
        <v>1054.4</v>
      </c>
      <c r="E19" s="50">
        <v>3.4</v>
      </c>
      <c r="F19" s="50">
        <v>344</v>
      </c>
      <c r="G19" s="50">
        <v>151.6</v>
      </c>
      <c r="H19" s="50">
        <v>28327</v>
      </c>
      <c r="I19" s="50">
        <v>37.3115881397655</v>
      </c>
      <c r="J19" s="50">
        <v>0.667877427701802</v>
      </c>
    </row>
    <row r="20" spans="1:10">
      <c r="A20" s="2" t="s">
        <v>28</v>
      </c>
      <c r="B20" s="48">
        <v>10.83770282</v>
      </c>
      <c r="C20" s="48">
        <v>24857</v>
      </c>
      <c r="D20" s="49">
        <v>973.2</v>
      </c>
      <c r="E20" s="50">
        <v>2.9</v>
      </c>
      <c r="F20" s="50">
        <v>1828</v>
      </c>
      <c r="G20" s="50">
        <v>86.7</v>
      </c>
      <c r="H20" s="50">
        <v>44431</v>
      </c>
      <c r="I20" s="50">
        <v>205.400272490814</v>
      </c>
      <c r="J20" s="50">
        <v>1.73059191060099</v>
      </c>
    </row>
    <row r="21" spans="1:10">
      <c r="A21" s="2" t="s">
        <v>29</v>
      </c>
      <c r="B21" s="48">
        <v>5.019519167</v>
      </c>
      <c r="C21" s="48">
        <v>13980</v>
      </c>
      <c r="D21" s="49">
        <v>909.2</v>
      </c>
      <c r="E21" s="50">
        <v>8.8</v>
      </c>
      <c r="F21" s="50">
        <v>1080</v>
      </c>
      <c r="G21" s="50">
        <v>148.6</v>
      </c>
      <c r="H21" s="50">
        <v>14643</v>
      </c>
      <c r="I21" s="50">
        <v>91.9427437762655</v>
      </c>
      <c r="J21" s="50">
        <v>1.29914456983169</v>
      </c>
    </row>
    <row r="22" spans="1:10">
      <c r="A22" s="2" t="s">
        <v>30</v>
      </c>
      <c r="B22" s="48">
        <v>7.317474929</v>
      </c>
      <c r="C22" s="48">
        <v>16907</v>
      </c>
      <c r="D22" s="49">
        <v>854.5</v>
      </c>
      <c r="E22" s="50">
        <v>3.5</v>
      </c>
      <c r="F22" s="50">
        <v>592</v>
      </c>
      <c r="G22" s="50">
        <v>107.5</v>
      </c>
      <c r="H22" s="50">
        <v>24686</v>
      </c>
      <c r="I22" s="50">
        <v>16.8208904607335</v>
      </c>
      <c r="J22" s="50">
        <v>2.08206966716729</v>
      </c>
    </row>
    <row r="23" spans="1:10">
      <c r="A23" s="2" t="s">
        <v>31</v>
      </c>
      <c r="B23" s="48">
        <v>6.593835145</v>
      </c>
      <c r="C23" s="48">
        <v>16773</v>
      </c>
      <c r="D23" s="49">
        <v>1025.4</v>
      </c>
      <c r="E23" s="50">
        <v>4</v>
      </c>
      <c r="F23" s="50">
        <v>77</v>
      </c>
      <c r="G23" s="50">
        <v>103.3</v>
      </c>
      <c r="H23" s="50">
        <v>26548</v>
      </c>
      <c r="I23" s="50">
        <v>47.1300509599141</v>
      </c>
      <c r="J23" s="50">
        <v>1.61064107362081</v>
      </c>
    </row>
    <row r="24" spans="1:10">
      <c r="A24" s="2" t="s">
        <v>32</v>
      </c>
      <c r="B24" s="48">
        <v>7.273701274</v>
      </c>
      <c r="C24" s="48">
        <v>16137</v>
      </c>
      <c r="D24" s="49">
        <v>904.1</v>
      </c>
      <c r="E24" s="50">
        <v>3.8</v>
      </c>
      <c r="F24" s="50">
        <v>475</v>
      </c>
      <c r="G24" s="50">
        <v>97</v>
      </c>
      <c r="H24" s="50">
        <v>29753</v>
      </c>
      <c r="I24" s="50">
        <v>69.3975803029143</v>
      </c>
      <c r="J24" s="50">
        <v>2.03148806500762</v>
      </c>
    </row>
    <row r="25" spans="1:10">
      <c r="A25" s="2" t="s">
        <v>33</v>
      </c>
      <c r="B25" s="48">
        <v>8.129333283</v>
      </c>
      <c r="C25" s="48">
        <v>15694</v>
      </c>
      <c r="D25" s="49">
        <v>726.3</v>
      </c>
      <c r="E25" s="50">
        <v>3</v>
      </c>
      <c r="F25" s="50">
        <v>595</v>
      </c>
      <c r="G25" s="50">
        <v>137</v>
      </c>
      <c r="H25" s="50">
        <v>45331</v>
      </c>
      <c r="I25" s="50">
        <v>7.84456029523011</v>
      </c>
      <c r="J25" s="50">
        <v>1.45853892403874</v>
      </c>
    </row>
    <row r="26" spans="1:10">
      <c r="A26" s="2" t="s">
        <v>34</v>
      </c>
      <c r="B26" s="48">
        <v>7.806561707</v>
      </c>
      <c r="C26" s="48">
        <v>18023</v>
      </c>
      <c r="D26" s="49">
        <v>884.7</v>
      </c>
      <c r="E26" s="50">
        <v>2.8</v>
      </c>
      <c r="F26" s="50">
        <v>1125</v>
      </c>
      <c r="G26" s="50">
        <v>127.7</v>
      </c>
      <c r="H26" s="50">
        <v>31564</v>
      </c>
      <c r="I26" s="50">
        <v>17.2224200130834</v>
      </c>
      <c r="J26" s="50">
        <v>1.6422682383148</v>
      </c>
    </row>
    <row r="27" spans="1:10">
      <c r="A27" s="2" t="s">
        <v>35</v>
      </c>
      <c r="B27" s="48">
        <v>6.769592638</v>
      </c>
      <c r="C27" s="48">
        <v>15774</v>
      </c>
      <c r="D27" s="49">
        <v>1269.7</v>
      </c>
      <c r="E27" s="50">
        <v>6.4</v>
      </c>
      <c r="F27" s="50">
        <v>337</v>
      </c>
      <c r="G27" s="50">
        <v>113.8</v>
      </c>
      <c r="H27" s="50">
        <v>22282</v>
      </c>
      <c r="I27" s="50">
        <v>40.2889854607613</v>
      </c>
      <c r="J27" s="50">
        <v>2.78502501437495</v>
      </c>
    </row>
    <row r="28" spans="1:10">
      <c r="A28" s="2" t="s">
        <v>36</v>
      </c>
      <c r="B28" s="48">
        <v>6.998913849</v>
      </c>
      <c r="C28" s="48">
        <v>15522</v>
      </c>
      <c r="D28" s="49">
        <v>639.1</v>
      </c>
      <c r="E28" s="50">
        <v>3.1</v>
      </c>
      <c r="F28" s="50">
        <v>695</v>
      </c>
      <c r="G28" s="50">
        <v>122.4</v>
      </c>
      <c r="H28" s="50">
        <v>28917</v>
      </c>
      <c r="I28" s="50">
        <v>48.5737860049693</v>
      </c>
      <c r="J28" s="50">
        <v>1.71173648954172</v>
      </c>
    </row>
    <row r="29" spans="1:10">
      <c r="A29" s="2" t="s">
        <v>37</v>
      </c>
      <c r="B29" s="48">
        <v>4.982396096</v>
      </c>
      <c r="C29" s="48">
        <v>17381</v>
      </c>
      <c r="D29" s="49">
        <v>761.8</v>
      </c>
      <c r="E29" s="50">
        <v>3</v>
      </c>
      <c r="F29" s="50">
        <v>379</v>
      </c>
      <c r="G29" s="50">
        <v>181.7</v>
      </c>
      <c r="H29" s="50">
        <v>32789</v>
      </c>
      <c r="I29" s="50">
        <v>17.7676840568288</v>
      </c>
      <c r="J29" s="50">
        <v>1.4566523102456</v>
      </c>
    </row>
    <row r="30" spans="1:10">
      <c r="A30" s="2" t="s">
        <v>38</v>
      </c>
      <c r="B30" s="48">
        <v>6.613660813</v>
      </c>
      <c r="C30" s="48">
        <v>16136</v>
      </c>
      <c r="D30" s="49">
        <v>684.9</v>
      </c>
      <c r="E30" s="50">
        <v>3.6</v>
      </c>
      <c r="F30" s="50">
        <v>496</v>
      </c>
      <c r="G30" s="50">
        <v>121.5</v>
      </c>
      <c r="H30" s="50">
        <v>32431</v>
      </c>
      <c r="I30" s="50">
        <v>35.4177081474861</v>
      </c>
      <c r="J30" s="50">
        <v>2.56932950127274</v>
      </c>
    </row>
    <row r="31" spans="1:10">
      <c r="A31" s="2" t="s">
        <v>39</v>
      </c>
      <c r="B31" s="48">
        <v>9.199843092</v>
      </c>
      <c r="C31" s="48">
        <v>24845</v>
      </c>
      <c r="D31" s="49">
        <v>797.5</v>
      </c>
      <c r="E31" s="50">
        <v>4.1</v>
      </c>
      <c r="F31" s="50">
        <v>696</v>
      </c>
      <c r="G31" s="50">
        <v>100.5</v>
      </c>
      <c r="H31" s="50">
        <v>45948</v>
      </c>
      <c r="I31" s="50">
        <v>464.062881630659</v>
      </c>
      <c r="J31" s="50">
        <v>2.19079127532177</v>
      </c>
    </row>
    <row r="32" spans="1:10">
      <c r="A32" s="2" t="s">
        <v>40</v>
      </c>
      <c r="B32" s="48">
        <v>7.439947445</v>
      </c>
      <c r="C32" s="48">
        <v>18028</v>
      </c>
      <c r="D32" s="49">
        <v>736.8</v>
      </c>
      <c r="E32" s="50">
        <v>3.5</v>
      </c>
      <c r="F32" s="50">
        <v>171</v>
      </c>
      <c r="G32" s="50">
        <v>150.3</v>
      </c>
      <c r="H32" s="50">
        <v>43138</v>
      </c>
      <c r="I32" s="50">
        <v>5.14766202762322</v>
      </c>
      <c r="J32" s="50">
        <v>0.69989527250859</v>
      </c>
    </row>
    <row r="33" spans="1:10">
      <c r="A33" s="2" t="s">
        <v>41</v>
      </c>
      <c r="B33" s="48">
        <v>8.285886499</v>
      </c>
      <c r="C33" s="48">
        <v>22596</v>
      </c>
      <c r="D33" s="49">
        <v>1059.1</v>
      </c>
      <c r="E33" s="50">
        <v>3.7</v>
      </c>
      <c r="F33" s="50">
        <v>141</v>
      </c>
      <c r="G33" s="50">
        <v>95.7</v>
      </c>
      <c r="H33" s="50">
        <v>45567</v>
      </c>
      <c r="I33" s="50">
        <v>83.0854617059107</v>
      </c>
      <c r="J33" s="50">
        <v>1.28706933406247</v>
      </c>
    </row>
    <row r="34" spans="1:10">
      <c r="A34" s="2" t="s">
        <v>42</v>
      </c>
      <c r="B34" s="48">
        <v>6.086221471</v>
      </c>
      <c r="C34" s="48">
        <v>25517</v>
      </c>
      <c r="D34" s="49">
        <v>1443.2</v>
      </c>
      <c r="E34" s="50">
        <v>9.2</v>
      </c>
      <c r="F34" s="50">
        <v>646</v>
      </c>
      <c r="G34" s="50">
        <v>133.9</v>
      </c>
      <c r="H34" s="50">
        <v>41089</v>
      </c>
      <c r="I34" s="50">
        <v>1342.83299118464</v>
      </c>
      <c r="J34" s="50">
        <v>3.30877913295496</v>
      </c>
    </row>
    <row r="35" spans="1:10">
      <c r="A35" s="2" t="s">
        <v>43</v>
      </c>
      <c r="B35" s="48">
        <v>6.905158581</v>
      </c>
      <c r="C35" s="48">
        <v>16754</v>
      </c>
      <c r="D35" s="49">
        <v>1099</v>
      </c>
      <c r="E35" s="50">
        <v>3.8</v>
      </c>
      <c r="F35" s="50">
        <v>455</v>
      </c>
      <c r="G35" s="50">
        <v>109.1</v>
      </c>
      <c r="H35" s="50">
        <v>35053</v>
      </c>
      <c r="I35" s="50">
        <v>15.9916417019371</v>
      </c>
      <c r="J35" s="50">
        <v>1.62145554953581</v>
      </c>
    </row>
    <row r="36" spans="1:10">
      <c r="A36" s="2" t="s">
        <v>44</v>
      </c>
      <c r="B36" s="48">
        <v>7.269089351</v>
      </c>
      <c r="C36" s="48">
        <v>16760</v>
      </c>
      <c r="D36" s="49">
        <v>911.8</v>
      </c>
      <c r="E36" s="50">
        <v>3.4</v>
      </c>
      <c r="F36" s="50">
        <v>452</v>
      </c>
      <c r="G36" s="50">
        <v>122.1</v>
      </c>
      <c r="H36" s="50">
        <v>29024</v>
      </c>
      <c r="I36" s="50">
        <v>74.4705849828597</v>
      </c>
      <c r="J36" s="50">
        <v>2.22202255888533</v>
      </c>
    </row>
    <row r="37" spans="1:10">
      <c r="A37" s="2" t="s">
        <v>45</v>
      </c>
      <c r="B37" s="48">
        <v>8.057930976</v>
      </c>
      <c r="C37" s="48">
        <v>16572</v>
      </c>
      <c r="D37" s="49">
        <v>826</v>
      </c>
      <c r="E37" s="50">
        <v>4.7</v>
      </c>
      <c r="F37" s="50">
        <v>783</v>
      </c>
      <c r="G37" s="50">
        <v>107.9</v>
      </c>
      <c r="H37" s="50">
        <v>32658</v>
      </c>
      <c r="I37" s="50">
        <v>20.2798475899708</v>
      </c>
      <c r="J37" s="50">
        <v>1.32909900607287</v>
      </c>
    </row>
    <row r="38" spans="1:10">
      <c r="A38" s="2" t="s">
        <v>46</v>
      </c>
      <c r="B38" s="48">
        <v>7.928656749</v>
      </c>
      <c r="C38" s="48">
        <v>15887</v>
      </c>
      <c r="D38" s="49">
        <v>872</v>
      </c>
      <c r="E38" s="50">
        <v>4.7</v>
      </c>
      <c r="F38" s="50">
        <v>1910</v>
      </c>
      <c r="G38" s="50">
        <v>119.9</v>
      </c>
      <c r="H38" s="50">
        <v>28006</v>
      </c>
      <c r="I38" s="50">
        <v>27.7988923878814</v>
      </c>
      <c r="J38" s="50">
        <v>2.14029753502009</v>
      </c>
    </row>
    <row r="39" spans="1:10">
      <c r="A39" s="2" t="s">
        <v>47</v>
      </c>
      <c r="B39" s="48">
        <v>6.859322755</v>
      </c>
      <c r="C39" s="48">
        <v>15607</v>
      </c>
      <c r="D39" s="49">
        <v>925.2</v>
      </c>
      <c r="E39" s="50">
        <v>3.3</v>
      </c>
      <c r="F39" s="50">
        <v>201</v>
      </c>
      <c r="G39" s="50">
        <v>128.7</v>
      </c>
      <c r="H39" s="50">
        <v>25403</v>
      </c>
      <c r="I39" s="50">
        <v>25.5872213197272</v>
      </c>
      <c r="J39" s="50">
        <v>2.12271155303614</v>
      </c>
    </row>
    <row r="40" spans="1:10">
      <c r="A40" s="2" t="s">
        <v>48</v>
      </c>
      <c r="B40" s="48">
        <v>6.669502943</v>
      </c>
      <c r="C40" s="48">
        <v>16291</v>
      </c>
      <c r="D40" s="49">
        <v>1250.5</v>
      </c>
      <c r="E40" s="50">
        <v>4.4</v>
      </c>
      <c r="F40" s="50">
        <v>608</v>
      </c>
      <c r="G40" s="50">
        <v>115.8</v>
      </c>
      <c r="H40" s="50">
        <v>27748</v>
      </c>
      <c r="I40" s="50">
        <v>63.8162093171666</v>
      </c>
      <c r="J40" s="50">
        <v>1.72445578954832</v>
      </c>
    </row>
    <row r="41" spans="1:10">
      <c r="A41" s="2" t="s">
        <v>49</v>
      </c>
      <c r="B41" s="48">
        <v>6.07964551</v>
      </c>
      <c r="C41" s="48">
        <v>15569</v>
      </c>
      <c r="D41" s="49">
        <v>829.9</v>
      </c>
      <c r="E41" s="50">
        <v>3.5</v>
      </c>
      <c r="F41" s="50">
        <v>237</v>
      </c>
      <c r="G41" s="50">
        <v>119.9</v>
      </c>
      <c r="H41" s="50">
        <v>25816</v>
      </c>
      <c r="I41" s="50">
        <v>38.2819079702932</v>
      </c>
      <c r="J41" s="50">
        <v>2.67016308092795</v>
      </c>
    </row>
    <row r="42" spans="1:10">
      <c r="A42" s="2" t="s">
        <v>50</v>
      </c>
      <c r="B42" s="48">
        <v>7.290749065</v>
      </c>
      <c r="C42" s="48">
        <v>16991</v>
      </c>
      <c r="D42" s="49">
        <v>1020.4</v>
      </c>
      <c r="E42" s="50">
        <v>4</v>
      </c>
      <c r="F42" s="50">
        <v>366</v>
      </c>
      <c r="G42" s="50">
        <v>132.1</v>
      </c>
      <c r="H42" s="50">
        <v>30768</v>
      </c>
      <c r="I42" s="50">
        <v>19.6682150916002</v>
      </c>
      <c r="J42" s="50">
        <v>1.58895337679413</v>
      </c>
    </row>
    <row r="43" spans="1:10">
      <c r="A43" s="2" t="s">
        <v>51</v>
      </c>
      <c r="B43" s="48">
        <v>9.676578998</v>
      </c>
      <c r="C43" s="48">
        <v>17207</v>
      </c>
      <c r="D43" s="49">
        <v>885.9</v>
      </c>
      <c r="E43" s="50">
        <v>3.3</v>
      </c>
      <c r="F43" s="50">
        <v>505</v>
      </c>
      <c r="G43" s="50">
        <v>107.9</v>
      </c>
      <c r="H43" s="50">
        <v>39421</v>
      </c>
      <c r="I43" s="50">
        <v>28.7271732297699</v>
      </c>
      <c r="J43" s="50">
        <v>1.58982511923688</v>
      </c>
    </row>
    <row r="44" spans="1:10">
      <c r="A44" s="2" t="s">
        <v>52</v>
      </c>
      <c r="B44" s="48">
        <v>7.865388576</v>
      </c>
      <c r="C44" s="48">
        <v>16099</v>
      </c>
      <c r="D44" s="49">
        <v>819.9</v>
      </c>
      <c r="E44" s="50">
        <v>4.8</v>
      </c>
      <c r="F44" s="50">
        <v>443</v>
      </c>
      <c r="G44" s="50">
        <v>106.8</v>
      </c>
      <c r="H44" s="50">
        <v>29269</v>
      </c>
      <c r="I44" s="50">
        <v>59.0874866209048</v>
      </c>
      <c r="J44" s="50">
        <v>1.69496675906824</v>
      </c>
    </row>
    <row r="45" spans="1:10">
      <c r="A45" s="2" t="s">
        <v>53</v>
      </c>
      <c r="B45" s="48">
        <v>5.359992773</v>
      </c>
      <c r="C45" s="48">
        <v>14777</v>
      </c>
      <c r="D45" s="49">
        <v>728.9</v>
      </c>
      <c r="E45" s="50">
        <v>7</v>
      </c>
      <c r="F45" s="50">
        <v>176</v>
      </c>
      <c r="G45" s="50">
        <v>146.6</v>
      </c>
      <c r="H45" s="50">
        <v>30511</v>
      </c>
      <c r="I45" s="50">
        <v>74.0763046162185</v>
      </c>
      <c r="J45" s="50">
        <v>1.8388589438606</v>
      </c>
    </row>
    <row r="46" spans="1:10">
      <c r="A46" s="2" t="s">
        <v>54</v>
      </c>
      <c r="B46" s="48">
        <v>8.539345032</v>
      </c>
      <c r="C46" s="48">
        <v>14723</v>
      </c>
      <c r="D46" s="49">
        <v>989.9</v>
      </c>
      <c r="E46" s="50">
        <v>11.8</v>
      </c>
      <c r="F46" s="50">
        <v>2581</v>
      </c>
      <c r="G46" s="50">
        <v>132.8</v>
      </c>
      <c r="H46" s="50">
        <v>23272</v>
      </c>
      <c r="I46" s="50">
        <v>220.125338608751</v>
      </c>
      <c r="J46" s="50">
        <v>1.60349923383099</v>
      </c>
    </row>
    <row r="47" spans="1:10">
      <c r="A47" s="2" t="s">
        <v>55</v>
      </c>
      <c r="B47" s="48">
        <v>6.16974448</v>
      </c>
      <c r="C47" s="48">
        <v>16399</v>
      </c>
      <c r="D47" s="49">
        <v>1082.4</v>
      </c>
      <c r="E47" s="50">
        <v>2.8</v>
      </c>
      <c r="F47" s="50">
        <v>277</v>
      </c>
      <c r="G47" s="50">
        <v>125.7</v>
      </c>
      <c r="H47" s="50">
        <v>30479</v>
      </c>
      <c r="I47" s="50">
        <v>10.6986958363222</v>
      </c>
      <c r="J47" s="50">
        <v>2.44356254330279</v>
      </c>
    </row>
    <row r="48" spans="1:10">
      <c r="A48" s="2" t="s">
        <v>56</v>
      </c>
      <c r="B48" s="48">
        <v>7.394319311</v>
      </c>
      <c r="C48" s="48">
        <v>15737</v>
      </c>
      <c r="D48" s="49">
        <v>854.4</v>
      </c>
      <c r="E48" s="50">
        <v>9</v>
      </c>
      <c r="F48" s="50">
        <v>312</v>
      </c>
      <c r="G48" s="50">
        <v>125</v>
      </c>
      <c r="H48" s="50">
        <v>27957</v>
      </c>
      <c r="I48" s="50">
        <v>43.634575792029</v>
      </c>
      <c r="J48" s="50">
        <v>1.7627958905653</v>
      </c>
    </row>
    <row r="49" spans="1:10">
      <c r="A49" s="2" t="s">
        <v>57</v>
      </c>
      <c r="B49" s="48">
        <v>2.980294165</v>
      </c>
      <c r="C49" s="48">
        <v>12628</v>
      </c>
      <c r="D49" s="49">
        <v>782.2</v>
      </c>
      <c r="E49" s="50">
        <v>11.2</v>
      </c>
      <c r="F49" s="50">
        <v>297</v>
      </c>
      <c r="G49" s="50">
        <v>157.8</v>
      </c>
      <c r="H49" s="50">
        <v>29242</v>
      </c>
      <c r="I49" s="50">
        <v>12.850408117706</v>
      </c>
      <c r="J49" s="50">
        <v>1.03178459339245</v>
      </c>
    </row>
    <row r="50" spans="1:10">
      <c r="A50" s="2" t="s">
        <v>58</v>
      </c>
      <c r="B50" s="48">
        <v>2.366085206</v>
      </c>
      <c r="C50" s="48">
        <v>13968</v>
      </c>
      <c r="D50" s="49">
        <v>557.6</v>
      </c>
      <c r="E50" s="50">
        <v>25.9</v>
      </c>
      <c r="F50" s="50">
        <v>378</v>
      </c>
      <c r="G50" s="50">
        <v>229.8</v>
      </c>
      <c r="H50" s="50">
        <v>11361</v>
      </c>
      <c r="I50" s="50">
        <v>87.7334301247872</v>
      </c>
      <c r="J50" s="50">
        <v>0.749227965224953</v>
      </c>
    </row>
    <row r="51" spans="1:10">
      <c r="A51" s="2" t="s">
        <v>59</v>
      </c>
      <c r="B51" s="48">
        <v>5.164658816</v>
      </c>
      <c r="C51" s="48">
        <v>14118</v>
      </c>
      <c r="D51" s="49">
        <v>822.7</v>
      </c>
      <c r="E51" s="50">
        <v>8.6</v>
      </c>
      <c r="F51" s="50">
        <v>170</v>
      </c>
      <c r="G51" s="50">
        <v>125.9</v>
      </c>
      <c r="H51" s="50">
        <v>15205</v>
      </c>
      <c r="I51" s="50">
        <v>181.572979529718</v>
      </c>
      <c r="J51" s="50">
        <v>1.86846883499461</v>
      </c>
    </row>
    <row r="52" spans="1:10">
      <c r="A52" s="2" t="s">
        <v>60</v>
      </c>
      <c r="B52" s="48">
        <v>9.063780341</v>
      </c>
      <c r="C52" s="48">
        <v>20754</v>
      </c>
      <c r="D52" s="49">
        <v>1658.7</v>
      </c>
      <c r="E52" s="50">
        <v>5.9</v>
      </c>
      <c r="F52" s="50">
        <v>658</v>
      </c>
      <c r="G52" s="50">
        <v>121</v>
      </c>
      <c r="H52" s="50">
        <v>36607</v>
      </c>
      <c r="I52" s="50">
        <v>111.293036451299</v>
      </c>
      <c r="J52" s="50">
        <v>2.04854639976459</v>
      </c>
    </row>
    <row r="53" spans="1:10">
      <c r="A53" s="2" t="s">
        <v>61</v>
      </c>
      <c r="B53" s="48">
        <v>6.782594171</v>
      </c>
      <c r="C53" s="48">
        <v>21302</v>
      </c>
      <c r="D53" s="49">
        <v>1205.4</v>
      </c>
      <c r="E53" s="50">
        <v>7.4</v>
      </c>
      <c r="F53" s="50">
        <v>131</v>
      </c>
      <c r="G53" s="50">
        <v>95.8</v>
      </c>
      <c r="H53" s="50">
        <v>32321</v>
      </c>
      <c r="I53" s="50">
        <v>73.9321932258943</v>
      </c>
      <c r="J53" s="50">
        <v>1.81407696341315</v>
      </c>
    </row>
    <row r="54" spans="1:10">
      <c r="A54" s="2" t="s">
        <v>62</v>
      </c>
      <c r="B54" s="48">
        <v>7.085430583</v>
      </c>
      <c r="C54" s="48">
        <v>14912</v>
      </c>
      <c r="D54" s="49">
        <v>631.4</v>
      </c>
      <c r="E54" s="50">
        <v>4.1</v>
      </c>
      <c r="F54" s="50">
        <v>1354</v>
      </c>
      <c r="G54" s="50">
        <v>120.4</v>
      </c>
      <c r="H54" s="50">
        <v>24649</v>
      </c>
      <c r="I54" s="50">
        <v>24.3769582130078</v>
      </c>
      <c r="J54" s="50">
        <v>1.22508508545969</v>
      </c>
    </row>
    <row r="55" spans="1:10">
      <c r="A55" s="2" t="s">
        <v>63</v>
      </c>
      <c r="B55" s="48">
        <v>5.292613771</v>
      </c>
      <c r="C55" s="48">
        <v>15206</v>
      </c>
      <c r="D55" s="49">
        <v>989.4</v>
      </c>
      <c r="E55" s="50">
        <v>4.1</v>
      </c>
      <c r="F55" s="50">
        <v>455</v>
      </c>
      <c r="G55" s="50">
        <v>124.2</v>
      </c>
      <c r="H55" s="50">
        <v>19832</v>
      </c>
      <c r="I55" s="50">
        <v>54.4239073696199</v>
      </c>
      <c r="J55" s="50">
        <v>2.13543396763631</v>
      </c>
    </row>
    <row r="56" spans="1:10">
      <c r="A56" s="2" t="s">
        <v>64</v>
      </c>
      <c r="B56" s="48">
        <v>5.074658008</v>
      </c>
      <c r="C56" s="48">
        <v>15441</v>
      </c>
      <c r="D56" s="49">
        <v>749.2</v>
      </c>
      <c r="E56" s="50">
        <v>4.1</v>
      </c>
      <c r="F56" s="50">
        <v>1159</v>
      </c>
      <c r="G56" s="50">
        <v>133</v>
      </c>
      <c r="H56" s="50">
        <v>20288</v>
      </c>
      <c r="I56" s="50">
        <v>70.1951424961393</v>
      </c>
      <c r="J56" s="50">
        <v>2.17540542524732</v>
      </c>
    </row>
    <row r="57" spans="1:10">
      <c r="A57" s="2" t="s">
        <v>65</v>
      </c>
      <c r="B57" s="48">
        <v>6.721466093</v>
      </c>
      <c r="C57" s="48">
        <v>22125</v>
      </c>
      <c r="D57" s="49">
        <v>1237.3</v>
      </c>
      <c r="E57" s="50">
        <v>7.4</v>
      </c>
      <c r="F57" s="50">
        <v>784</v>
      </c>
      <c r="G57" s="50">
        <v>116.7</v>
      </c>
      <c r="H57" s="50">
        <v>41009</v>
      </c>
      <c r="I57" s="50">
        <v>59.8376865166749</v>
      </c>
      <c r="J57" s="50">
        <v>1.51849405482014</v>
      </c>
    </row>
    <row r="58" spans="1:10">
      <c r="A58" s="2" t="s">
        <v>66</v>
      </c>
      <c r="B58" s="48">
        <v>4.134270083</v>
      </c>
      <c r="C58" s="48">
        <v>14736</v>
      </c>
      <c r="D58" s="49">
        <v>634.7</v>
      </c>
      <c r="E58" s="50">
        <v>10.2</v>
      </c>
      <c r="F58" s="50">
        <v>318</v>
      </c>
      <c r="G58" s="50">
        <v>120.4</v>
      </c>
      <c r="H58" s="50">
        <v>23959</v>
      </c>
      <c r="I58" s="50">
        <v>101.599980089917</v>
      </c>
      <c r="J58" s="50">
        <v>1.77580368658602</v>
      </c>
    </row>
    <row r="59" spans="1:10">
      <c r="A59" s="2" t="s">
        <v>67</v>
      </c>
      <c r="B59" s="48">
        <v>6.856036236</v>
      </c>
      <c r="C59" s="48">
        <v>16595</v>
      </c>
      <c r="D59" s="49">
        <v>888.9</v>
      </c>
      <c r="E59" s="50">
        <v>2.1</v>
      </c>
      <c r="F59" s="50">
        <v>503</v>
      </c>
      <c r="G59" s="50">
        <v>161.8</v>
      </c>
      <c r="H59" s="50">
        <v>35993</v>
      </c>
      <c r="I59" s="50">
        <v>10.8976733467405</v>
      </c>
      <c r="J59" s="50">
        <v>1.50417885781386</v>
      </c>
    </row>
    <row r="60" spans="1:10">
      <c r="A60" s="2" t="s">
        <v>68</v>
      </c>
      <c r="B60" s="48">
        <v>7.275189229</v>
      </c>
      <c r="C60" s="48">
        <v>15687</v>
      </c>
      <c r="D60" s="49">
        <v>725.4</v>
      </c>
      <c r="E60" s="50">
        <v>12.3</v>
      </c>
      <c r="F60" s="50">
        <v>140</v>
      </c>
      <c r="G60" s="50">
        <v>91.5</v>
      </c>
      <c r="H60" s="50">
        <v>14320</v>
      </c>
      <c r="I60" s="50">
        <v>152.927447061863</v>
      </c>
      <c r="J60" s="50">
        <v>2.04002244915534</v>
      </c>
    </row>
    <row r="61" spans="1:10">
      <c r="A61" s="2" t="s">
        <v>69</v>
      </c>
      <c r="B61" s="48">
        <v>8.028426801</v>
      </c>
      <c r="C61" s="48">
        <v>16630</v>
      </c>
      <c r="D61" s="49">
        <v>974.5</v>
      </c>
      <c r="E61" s="50">
        <v>3.6</v>
      </c>
      <c r="F61" s="50">
        <v>1806</v>
      </c>
      <c r="G61" s="50">
        <v>156.5</v>
      </c>
      <c r="H61" s="50">
        <v>24919</v>
      </c>
      <c r="I61" s="50">
        <v>75.6192027629225</v>
      </c>
      <c r="J61" s="50">
        <v>1.7230644211651</v>
      </c>
    </row>
    <row r="62" spans="1:10">
      <c r="A62" s="2" t="s">
        <v>70</v>
      </c>
      <c r="B62" s="48">
        <v>7.047854041</v>
      </c>
      <c r="C62" s="48">
        <v>15418</v>
      </c>
      <c r="D62" s="49">
        <v>896.7</v>
      </c>
      <c r="E62" s="50">
        <v>3.6</v>
      </c>
      <c r="F62" s="50">
        <v>143</v>
      </c>
      <c r="G62" s="50">
        <v>126.3</v>
      </c>
      <c r="H62" s="50">
        <v>34963</v>
      </c>
      <c r="I62" s="50">
        <v>9.09431401948337</v>
      </c>
      <c r="J62" s="50">
        <v>2.01391190720928</v>
      </c>
    </row>
    <row r="63" spans="1:10">
      <c r="A63" s="2" t="s">
        <v>71</v>
      </c>
      <c r="B63" s="48">
        <v>6.654183596</v>
      </c>
      <c r="C63" s="48">
        <v>16183</v>
      </c>
      <c r="D63" s="49">
        <v>827.8</v>
      </c>
      <c r="E63" s="50">
        <v>2.9</v>
      </c>
      <c r="F63" s="50">
        <v>677</v>
      </c>
      <c r="G63" s="50">
        <v>129.6</v>
      </c>
      <c r="H63" s="50">
        <v>27306</v>
      </c>
      <c r="I63" s="50">
        <v>50.8343786685781</v>
      </c>
      <c r="J63" s="50">
        <v>1.84046050827064</v>
      </c>
    </row>
    <row r="64" spans="1:10">
      <c r="A64" s="2" t="s">
        <v>72</v>
      </c>
      <c r="B64" s="48">
        <v>6.883707892</v>
      </c>
      <c r="C64" s="48">
        <v>16737</v>
      </c>
      <c r="D64" s="49">
        <v>981.4</v>
      </c>
      <c r="E64" s="50">
        <v>3</v>
      </c>
      <c r="F64" s="50">
        <v>402</v>
      </c>
      <c r="G64" s="50">
        <v>141.6</v>
      </c>
      <c r="H64" s="50">
        <v>30264</v>
      </c>
      <c r="I64" s="50">
        <v>15.284444462766</v>
      </c>
      <c r="J64" s="50">
        <v>1.38352761807154</v>
      </c>
    </row>
    <row r="65" spans="1:10">
      <c r="A65" s="2" t="s">
        <v>73</v>
      </c>
      <c r="B65" s="48">
        <v>10.36673935</v>
      </c>
      <c r="C65" s="48">
        <v>18416</v>
      </c>
      <c r="D65" s="49">
        <v>1268.8</v>
      </c>
      <c r="E65" s="50">
        <v>1.8</v>
      </c>
      <c r="F65" s="50">
        <v>905</v>
      </c>
      <c r="G65" s="50">
        <v>119.6</v>
      </c>
      <c r="H65" s="50">
        <v>48134</v>
      </c>
      <c r="I65" s="50">
        <v>15.8994143448049</v>
      </c>
      <c r="J65" s="50">
        <v>0.960924200300501</v>
      </c>
    </row>
    <row r="66" spans="1:10">
      <c r="A66" s="2" t="s">
        <v>74</v>
      </c>
      <c r="B66" s="48">
        <v>6.416931833</v>
      </c>
      <c r="C66" s="48">
        <v>15495</v>
      </c>
      <c r="D66" s="49">
        <v>802.3</v>
      </c>
      <c r="E66" s="50">
        <v>3.5</v>
      </c>
      <c r="F66" s="50">
        <v>397</v>
      </c>
      <c r="G66" s="50">
        <v>104.3</v>
      </c>
      <c r="H66" s="50">
        <v>23963</v>
      </c>
      <c r="I66" s="50">
        <v>20.3062228026889</v>
      </c>
      <c r="J66" s="50">
        <v>1.39165865032684</v>
      </c>
    </row>
    <row r="67" spans="1:10">
      <c r="A67" s="2" t="s">
        <v>75</v>
      </c>
      <c r="B67" s="48">
        <v>10.02866567</v>
      </c>
      <c r="C67" s="48">
        <v>22148</v>
      </c>
      <c r="D67" s="49">
        <v>726</v>
      </c>
      <c r="E67" s="50">
        <v>4.5</v>
      </c>
      <c r="F67" s="50">
        <v>315</v>
      </c>
      <c r="G67" s="50">
        <v>85.5</v>
      </c>
      <c r="H67" s="50">
        <v>54031</v>
      </c>
      <c r="I67" s="50">
        <v>150.235714655753</v>
      </c>
      <c r="J67" s="50">
        <v>1.85636084201074</v>
      </c>
    </row>
    <row r="68" spans="1:10">
      <c r="A68" s="2" t="s">
        <v>76</v>
      </c>
      <c r="B68" s="48">
        <v>8.118922921</v>
      </c>
      <c r="C68" s="48">
        <v>17556</v>
      </c>
      <c r="D68" s="49">
        <v>994.6</v>
      </c>
      <c r="E68" s="50">
        <v>3.5</v>
      </c>
      <c r="F68" s="50">
        <v>994</v>
      </c>
      <c r="G68" s="50">
        <v>114.1</v>
      </c>
      <c r="H68" s="50">
        <v>37378</v>
      </c>
      <c r="I68" s="50">
        <v>10.7258129389998</v>
      </c>
      <c r="J68" s="50">
        <v>1.69684242416544</v>
      </c>
    </row>
    <row r="69" spans="1:10">
      <c r="A69" s="2" t="s">
        <v>77</v>
      </c>
      <c r="B69" s="48">
        <v>7.674595695</v>
      </c>
      <c r="C69" s="48">
        <v>16173</v>
      </c>
      <c r="D69" s="49">
        <v>612.5</v>
      </c>
      <c r="E69" s="50">
        <v>4</v>
      </c>
      <c r="F69" s="50">
        <v>554</v>
      </c>
      <c r="G69" s="50">
        <v>166</v>
      </c>
      <c r="H69" s="50">
        <v>30093</v>
      </c>
      <c r="I69" s="50">
        <v>82.1179930651897</v>
      </c>
      <c r="J69" s="50">
        <v>0.645729593045655</v>
      </c>
    </row>
    <row r="70" spans="1:10">
      <c r="A70" s="2" t="s">
        <v>78</v>
      </c>
      <c r="B70" s="48">
        <v>6.938865031</v>
      </c>
      <c r="C70" s="48">
        <v>15933</v>
      </c>
      <c r="D70" s="49">
        <v>777.6</v>
      </c>
      <c r="E70" s="50">
        <v>3.7</v>
      </c>
      <c r="F70" s="50">
        <v>850</v>
      </c>
      <c r="G70" s="50">
        <v>104.1</v>
      </c>
      <c r="H70" s="50">
        <v>27256</v>
      </c>
      <c r="I70" s="50">
        <v>58.6382960347557</v>
      </c>
      <c r="J70" s="50">
        <v>2.65463293676723</v>
      </c>
    </row>
    <row r="71" spans="1:10">
      <c r="A71" s="2" t="s">
        <v>79</v>
      </c>
      <c r="B71" s="48">
        <v>5.69001484</v>
      </c>
      <c r="C71" s="48">
        <v>15118</v>
      </c>
      <c r="D71" s="49">
        <v>836</v>
      </c>
      <c r="E71" s="50">
        <v>4.4</v>
      </c>
      <c r="F71" s="50">
        <v>392</v>
      </c>
      <c r="G71" s="50">
        <v>128.1</v>
      </c>
      <c r="H71" s="50">
        <v>25153</v>
      </c>
      <c r="I71" s="50">
        <v>15.6377887683394</v>
      </c>
      <c r="J71" s="50">
        <v>1.48472692036706</v>
      </c>
    </row>
    <row r="72" spans="1:10">
      <c r="A72" s="2" t="s">
        <v>80</v>
      </c>
      <c r="B72" s="48">
        <v>6.013091247</v>
      </c>
      <c r="C72" s="48">
        <v>15170</v>
      </c>
      <c r="D72" s="49">
        <v>759.6</v>
      </c>
      <c r="E72" s="50">
        <v>3.3</v>
      </c>
      <c r="F72" s="50">
        <v>445</v>
      </c>
      <c r="G72" s="50">
        <v>130.8</v>
      </c>
      <c r="H72" s="50">
        <v>27256</v>
      </c>
      <c r="I72" s="50">
        <v>47.1877052896492</v>
      </c>
      <c r="J72" s="50">
        <v>3.69688427497993</v>
      </c>
    </row>
    <row r="73" spans="1:10">
      <c r="A73" s="2" t="s">
        <v>81</v>
      </c>
      <c r="B73" s="48">
        <v>7.241851583</v>
      </c>
      <c r="C73" s="48">
        <v>16503</v>
      </c>
      <c r="D73" s="49">
        <v>962.5</v>
      </c>
      <c r="E73" s="50">
        <v>3.8</v>
      </c>
      <c r="F73" s="50">
        <v>672</v>
      </c>
      <c r="G73" s="50">
        <v>107.6</v>
      </c>
      <c r="H73" s="50">
        <v>28470</v>
      </c>
      <c r="I73" s="50">
        <v>39.6352896863724</v>
      </c>
      <c r="J73" s="50">
        <v>2.9074085167457</v>
      </c>
    </row>
    <row r="74" spans="1:10">
      <c r="A74" s="2" t="s">
        <v>82</v>
      </c>
      <c r="B74" s="48">
        <v>7.05209681</v>
      </c>
      <c r="C74" s="48">
        <v>18366</v>
      </c>
      <c r="D74" s="49">
        <v>752.3</v>
      </c>
      <c r="E74" s="50">
        <v>5.8</v>
      </c>
      <c r="F74" s="50">
        <v>521</v>
      </c>
      <c r="G74" s="50">
        <v>96.8</v>
      </c>
      <c r="H74" s="50">
        <v>27218</v>
      </c>
      <c r="I74" s="50">
        <v>56.7420958260514</v>
      </c>
      <c r="J74" s="50">
        <v>1.4393578307875</v>
      </c>
    </row>
    <row r="75" spans="1:10">
      <c r="A75" s="2" t="s">
        <v>83</v>
      </c>
      <c r="B75" s="48">
        <v>6.906277702</v>
      </c>
      <c r="C75" s="48">
        <v>16655</v>
      </c>
      <c r="D75" s="49">
        <v>850.9</v>
      </c>
      <c r="E75" s="50">
        <v>3.6</v>
      </c>
      <c r="F75" s="50">
        <v>1269</v>
      </c>
      <c r="G75" s="50">
        <v>123.5</v>
      </c>
      <c r="H75" s="50">
        <v>28397</v>
      </c>
      <c r="I75" s="50">
        <v>27.1980014505601</v>
      </c>
      <c r="J75" s="50">
        <v>1.37601740672093</v>
      </c>
    </row>
    <row r="76" spans="1:10">
      <c r="A76" s="2" t="s">
        <v>84</v>
      </c>
      <c r="B76" s="48">
        <v>7.872529791</v>
      </c>
      <c r="C76" s="48">
        <v>17548</v>
      </c>
      <c r="D76" s="49">
        <v>844.6</v>
      </c>
      <c r="E76" s="50">
        <v>3.6</v>
      </c>
      <c r="F76" s="50">
        <v>1658</v>
      </c>
      <c r="G76" s="50">
        <v>136.1</v>
      </c>
      <c r="H76" s="50">
        <v>36159</v>
      </c>
      <c r="I76" s="50">
        <v>36.4353633539966</v>
      </c>
      <c r="J76" s="50">
        <v>3.06679878897572</v>
      </c>
    </row>
    <row r="77" spans="1:10">
      <c r="A77" s="2" t="s">
        <v>85</v>
      </c>
      <c r="B77" s="48">
        <v>5.697292264</v>
      </c>
      <c r="C77" s="48">
        <v>16738</v>
      </c>
      <c r="D77" s="49">
        <v>975.7</v>
      </c>
      <c r="E77" s="50">
        <v>3.3</v>
      </c>
      <c r="F77" s="50">
        <v>539</v>
      </c>
      <c r="G77" s="50">
        <v>124.2</v>
      </c>
      <c r="H77" s="50">
        <v>25642</v>
      </c>
      <c r="I77" s="50">
        <v>36.2479498118081</v>
      </c>
      <c r="J77" s="50">
        <v>1.71001778501507</v>
      </c>
    </row>
    <row r="78" spans="1:10">
      <c r="A78" s="2" t="s">
        <v>86</v>
      </c>
      <c r="B78" s="48">
        <v>6.384379428</v>
      </c>
      <c r="C78" s="48">
        <v>15605</v>
      </c>
      <c r="D78" s="49">
        <v>878.1</v>
      </c>
      <c r="E78" s="50">
        <v>4.3</v>
      </c>
      <c r="F78" s="50">
        <v>557</v>
      </c>
      <c r="G78" s="50">
        <v>120.9</v>
      </c>
      <c r="H78" s="50">
        <v>24548</v>
      </c>
      <c r="I78" s="50">
        <v>35.4032130944684</v>
      </c>
      <c r="J78" s="50">
        <v>1.48862081725789</v>
      </c>
    </row>
    <row r="79" spans="1:10">
      <c r="A79" s="2" t="s">
        <v>87</v>
      </c>
      <c r="B79" s="48">
        <v>8.893790645</v>
      </c>
      <c r="C79" s="48">
        <v>19383</v>
      </c>
      <c r="D79" s="49">
        <v>785.3</v>
      </c>
      <c r="E79" s="50">
        <v>2.7</v>
      </c>
      <c r="F79" s="50">
        <v>292</v>
      </c>
      <c r="G79" s="50">
        <v>116.6</v>
      </c>
      <c r="H79" s="50">
        <v>42352</v>
      </c>
      <c r="I79" s="50">
        <v>42.9205535121509</v>
      </c>
      <c r="J79" s="50">
        <v>1.74553932818856</v>
      </c>
    </row>
    <row r="80" spans="1:10">
      <c r="A80" s="2" t="s">
        <v>88</v>
      </c>
      <c r="B80" s="48">
        <v>7.418449321</v>
      </c>
      <c r="C80" s="48">
        <v>24696</v>
      </c>
      <c r="D80" s="49">
        <v>965.9</v>
      </c>
      <c r="E80" s="50">
        <v>1.5</v>
      </c>
      <c r="F80" s="50">
        <v>307</v>
      </c>
      <c r="G80" s="50">
        <v>137.7</v>
      </c>
      <c r="H80" s="50">
        <v>39700</v>
      </c>
      <c r="I80" s="50">
        <v>33.9129111795305</v>
      </c>
      <c r="J80" s="50">
        <v>1.40936019576576</v>
      </c>
    </row>
    <row r="81" spans="1:10">
      <c r="A81" s="2" t="s">
        <v>89</v>
      </c>
      <c r="B81" s="48">
        <v>7.386762521</v>
      </c>
      <c r="C81" s="48">
        <v>16686</v>
      </c>
      <c r="D81" s="49">
        <v>973.9</v>
      </c>
      <c r="E81" s="50">
        <v>2.6</v>
      </c>
      <c r="F81" s="50">
        <v>191</v>
      </c>
      <c r="G81" s="50">
        <v>134.4</v>
      </c>
      <c r="H81" s="50">
        <v>27029</v>
      </c>
      <c r="I81" s="50">
        <v>12.3595963039535</v>
      </c>
      <c r="J81" s="50">
        <v>1.59122480377676</v>
      </c>
    </row>
    <row r="82" spans="1:10">
      <c r="A82" s="2" t="s">
        <v>90</v>
      </c>
      <c r="B82" s="48">
        <v>2.880755112</v>
      </c>
      <c r="C82" s="48">
        <v>14564</v>
      </c>
      <c r="D82" s="49">
        <v>450.1</v>
      </c>
      <c r="E82" s="50">
        <v>10.4</v>
      </c>
      <c r="F82" s="50">
        <v>289</v>
      </c>
      <c r="G82" s="50">
        <v>174</v>
      </c>
      <c r="H82" s="50">
        <v>22124</v>
      </c>
      <c r="I82" s="50">
        <v>22.0486040477562</v>
      </c>
      <c r="J82" s="50">
        <v>1.22120393252602</v>
      </c>
    </row>
    <row r="83" spans="1:10">
      <c r="A83" s="2" t="s">
        <v>91</v>
      </c>
      <c r="B83" s="48">
        <v>5.279400073</v>
      </c>
      <c r="C83" s="48">
        <v>15758</v>
      </c>
      <c r="D83" s="49">
        <v>934.9</v>
      </c>
      <c r="E83" s="50">
        <v>4.2</v>
      </c>
      <c r="F83" s="50">
        <v>307</v>
      </c>
      <c r="G83" s="50">
        <v>123.9</v>
      </c>
      <c r="H83" s="50">
        <v>21891</v>
      </c>
      <c r="I83" s="50">
        <v>45.3101838456467</v>
      </c>
      <c r="J83" s="50">
        <v>2.81618914201688</v>
      </c>
    </row>
    <row r="84" spans="1:10">
      <c r="A84" s="2" t="s">
        <v>92</v>
      </c>
      <c r="B84" s="48">
        <v>8.835878261</v>
      </c>
      <c r="C84" s="48">
        <v>27843</v>
      </c>
      <c r="D84" s="49">
        <v>1350.9</v>
      </c>
      <c r="E84" s="50">
        <v>0.6</v>
      </c>
      <c r="F84" s="50">
        <v>581</v>
      </c>
      <c r="G84" s="50">
        <v>73.9</v>
      </c>
      <c r="H84" s="50">
        <v>39428</v>
      </c>
      <c r="I84" s="50">
        <v>1673.17694733984</v>
      </c>
      <c r="J84" s="50">
        <v>1.56664508177887</v>
      </c>
    </row>
    <row r="85" spans="1:10">
      <c r="A85" s="2" t="s">
        <v>93</v>
      </c>
      <c r="B85" s="48">
        <v>8.307689302</v>
      </c>
      <c r="C85" s="48">
        <v>24376</v>
      </c>
      <c r="D85" s="49">
        <v>1509.6</v>
      </c>
      <c r="E85" s="50">
        <v>1.4</v>
      </c>
      <c r="F85" s="50">
        <v>459</v>
      </c>
      <c r="G85" s="50">
        <v>123.3</v>
      </c>
      <c r="H85" s="50">
        <v>47006</v>
      </c>
      <c r="I85" s="50">
        <v>134.228187919463</v>
      </c>
      <c r="J85" s="50">
        <v>1.72132508816662</v>
      </c>
    </row>
    <row r="86" spans="1:10">
      <c r="A86" s="2" t="s">
        <v>94</v>
      </c>
      <c r="B86" s="48">
        <v>7.221771805</v>
      </c>
      <c r="C86" s="48">
        <v>16972</v>
      </c>
      <c r="D86" s="49">
        <v>1016.8</v>
      </c>
      <c r="E86" s="50">
        <v>5.3</v>
      </c>
      <c r="F86" s="50">
        <v>2863</v>
      </c>
      <c r="G86" s="50">
        <v>107.7</v>
      </c>
      <c r="H86" s="50">
        <v>30810</v>
      </c>
      <c r="I86" s="50">
        <v>44.9954629574851</v>
      </c>
      <c r="J86" s="50">
        <v>1.59400593773461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87"/>
  <sheetViews>
    <sheetView topLeftCell="A77" workbookViewId="0">
      <pane xSplit="1" topLeftCell="G1" activePane="topRight" state="frozen"/>
      <selection/>
      <selection pane="topRight" activeCell="M2" sqref="M2:M86"/>
    </sheetView>
  </sheetViews>
  <sheetFormatPr defaultColWidth="9.09090909090909" defaultRowHeight="14.5"/>
  <cols>
    <col min="1" max="1" width="12.4545454545455" customWidth="1"/>
    <col min="2" max="2" width="8.63636363636364" customWidth="1"/>
    <col min="3" max="3" width="11.2727272727273" customWidth="1"/>
    <col min="4" max="5" width="14" customWidth="1"/>
    <col min="6" max="6" width="11.7272727272727" customWidth="1"/>
    <col min="7" max="8" width="14" customWidth="1"/>
    <col min="9" max="9" width="11.8181818181818" customWidth="1"/>
    <col min="10" max="10" width="10.4545454545455" customWidth="1"/>
    <col min="11" max="11" width="1.72727272727273" customWidth="1"/>
    <col min="12" max="12" width="1.81818181818182" customWidth="1"/>
    <col min="13" max="13" width="15.5454545454545" customWidth="1"/>
    <col min="14" max="14" width="16.4545454545455" customWidth="1"/>
    <col min="15" max="15" width="13.4545454545455" customWidth="1"/>
    <col min="16" max="16" width="10.4545454545455" customWidth="1"/>
    <col min="17" max="17" width="4.81818181818182" customWidth="1"/>
    <col min="18" max="18" width="1.45454545454545" customWidth="1"/>
    <col min="19" max="19" width="15.1818181818182" hidden="1" customWidth="1"/>
    <col min="20" max="20" width="2.36363636363636" hidden="1" customWidth="1"/>
    <col min="21" max="21" width="9.81818181818182" hidden="1" customWidth="1"/>
    <col min="22" max="22" width="5.45454545454545" hidden="1" customWidth="1"/>
    <col min="23" max="23" width="7.90909090909091" hidden="1" customWidth="1"/>
    <col min="24" max="24" width="3.90909090909091" hidden="1" customWidth="1"/>
    <col min="25" max="25" width="9.36363636363636" customWidth="1"/>
    <col min="26" max="26" width="0.818181818181818" customWidth="1"/>
    <col min="27" max="27" width="15.1818181818182" hidden="1" customWidth="1"/>
    <col min="28" max="28" width="10.2727272727273" hidden="1" customWidth="1"/>
    <col min="29" max="29" width="10.1818181818182" hidden="1" customWidth="1"/>
    <col min="30" max="30" width="4.81818181818182" hidden="1" customWidth="1"/>
    <col min="31" max="31" width="4.72727272727273" hidden="1" customWidth="1"/>
    <col min="32" max="32" width="0.363636363636364" hidden="1" customWidth="1"/>
    <col min="33" max="33" width="9.09090909090909" hidden="1" customWidth="1"/>
    <col min="34" max="34" width="8.27272727272727" customWidth="1"/>
    <col min="35" max="35" width="0.636363636363636" customWidth="1"/>
    <col min="36" max="41" width="9.54545454545454" hidden="1" customWidth="1"/>
    <col min="42" max="42" width="15.0909090909091" hidden="1" customWidth="1"/>
    <col min="44" max="44" width="1.18181818181818" customWidth="1"/>
    <col min="45" max="45" width="7.27272727272727" hidden="1" customWidth="1"/>
    <col min="46" max="46" width="3.36363636363636" hidden="1" customWidth="1"/>
    <col min="47" max="47" width="1.72727272727273" hidden="1" customWidth="1"/>
    <col min="48" max="48" width="2.36363636363636" hidden="1" customWidth="1"/>
    <col min="49" max="49" width="3.27272727272727" hidden="1" customWidth="1"/>
    <col min="50" max="50" width="3.18181818181818" hidden="1" customWidth="1"/>
    <col min="51" max="51" width="4.63636363636364" hidden="1" customWidth="1"/>
    <col min="52" max="52" width="7.63636363636364" customWidth="1"/>
    <col min="53" max="53" width="0.909090909090909" customWidth="1"/>
    <col min="54" max="54" width="3.90909090909091" hidden="1" customWidth="1"/>
    <col min="55" max="55" width="4.45454545454545" hidden="1" customWidth="1"/>
    <col min="56" max="56" width="7.45454545454545" hidden="1" customWidth="1"/>
    <col min="57" max="57" width="4.63636363636364" hidden="1" customWidth="1"/>
    <col min="58" max="58" width="6.45454545454545" hidden="1" customWidth="1"/>
    <col min="59" max="59" width="8.18181818181818" hidden="1" customWidth="1"/>
    <col min="60" max="60" width="3.81818181818182" hidden="1" customWidth="1"/>
    <col min="62" max="62" width="1.18181818181818" customWidth="1"/>
    <col min="63" max="67" width="9.09090909090909" hidden="1" customWidth="1"/>
    <col min="68" max="68" width="3.54545454545455" hidden="1" customWidth="1"/>
    <col min="69" max="69" width="5.72727272727273" hidden="1" customWidth="1"/>
    <col min="71" max="71" width="12.8181818181818"/>
    <col min="73" max="74" width="12.8181818181818"/>
  </cols>
  <sheetData>
    <row r="1" ht="15.25" spans="1:76">
      <c r="A1" s="30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8" t="s">
        <v>95</v>
      </c>
      <c r="L1" s="38" t="s">
        <v>96</v>
      </c>
      <c r="M1" s="38" t="s">
        <v>97</v>
      </c>
      <c r="N1" s="38" t="s">
        <v>98</v>
      </c>
      <c r="O1" s="12" t="s">
        <v>99</v>
      </c>
      <c r="P1" s="12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  <c r="AF1" t="s">
        <v>116</v>
      </c>
      <c r="AG1" t="s">
        <v>117</v>
      </c>
      <c r="AH1" t="s">
        <v>118</v>
      </c>
      <c r="AI1" s="41" t="s">
        <v>119</v>
      </c>
      <c r="AJ1" s="41" t="s">
        <v>120</v>
      </c>
      <c r="AK1" s="41" t="s">
        <v>121</v>
      </c>
      <c r="AL1" s="41" t="s">
        <v>122</v>
      </c>
      <c r="AM1" s="41" t="s">
        <v>123</v>
      </c>
      <c r="AN1" s="41" t="s">
        <v>124</v>
      </c>
      <c r="AO1" s="41" t="s">
        <v>125</v>
      </c>
      <c r="AP1" s="41" t="s">
        <v>126</v>
      </c>
      <c r="AQ1" t="s">
        <v>127</v>
      </c>
      <c r="AR1" t="s">
        <v>128</v>
      </c>
      <c r="AS1" t="s">
        <v>129</v>
      </c>
      <c r="AT1" t="s">
        <v>130</v>
      </c>
      <c r="AU1" t="s">
        <v>131</v>
      </c>
      <c r="AV1" t="s">
        <v>132</v>
      </c>
      <c r="AW1" t="s">
        <v>133</v>
      </c>
      <c r="AX1" t="s">
        <v>134</v>
      </c>
      <c r="AY1" t="s">
        <v>135</v>
      </c>
      <c r="AZ1" t="s">
        <v>136</v>
      </c>
      <c r="BA1" t="s">
        <v>137</v>
      </c>
      <c r="BB1" t="s">
        <v>138</v>
      </c>
      <c r="BC1" t="s">
        <v>139</v>
      </c>
      <c r="BD1" t="s">
        <v>140</v>
      </c>
      <c r="BE1" t="s">
        <v>141</v>
      </c>
      <c r="BF1" t="s">
        <v>142</v>
      </c>
      <c r="BG1" t="s">
        <v>143</v>
      </c>
      <c r="BH1" t="s">
        <v>144</v>
      </c>
      <c r="BI1" t="s">
        <v>145</v>
      </c>
      <c r="BJ1" t="s">
        <v>146</v>
      </c>
      <c r="BK1" t="s">
        <v>147</v>
      </c>
      <c r="BL1" t="s">
        <v>148</v>
      </c>
      <c r="BM1" t="s">
        <v>149</v>
      </c>
      <c r="BN1" t="s">
        <v>150</v>
      </c>
      <c r="BO1" t="s">
        <v>151</v>
      </c>
      <c r="BP1" t="s">
        <v>152</v>
      </c>
      <c r="BQ1" t="s">
        <v>153</v>
      </c>
      <c r="BR1" t="s">
        <v>154</v>
      </c>
      <c r="BS1" t="s">
        <v>155</v>
      </c>
      <c r="BT1" t="s">
        <v>156</v>
      </c>
      <c r="BU1" t="s">
        <v>157</v>
      </c>
      <c r="BV1" t="s">
        <v>158</v>
      </c>
      <c r="BW1" t="s">
        <v>159</v>
      </c>
      <c r="BX1" t="s">
        <v>160</v>
      </c>
    </row>
    <row r="2" spans="1:76">
      <c r="A2" s="32" t="s">
        <v>10</v>
      </c>
      <c r="B2" s="33">
        <v>0.164716563242407</v>
      </c>
      <c r="C2" s="33">
        <v>-0.572186549087217</v>
      </c>
      <c r="D2" s="33">
        <v>1.60154640686379</v>
      </c>
      <c r="E2" s="33">
        <v>-0.374020277535241</v>
      </c>
      <c r="F2" s="33">
        <v>-0.727499343939877</v>
      </c>
      <c r="G2" s="33">
        <v>-0.749581216224623</v>
      </c>
      <c r="H2" s="33">
        <v>-0.666517853668565</v>
      </c>
      <c r="I2" s="33">
        <v>-0.310662690463558</v>
      </c>
      <c r="J2" s="33">
        <v>0.925920423654802</v>
      </c>
      <c r="K2" s="5">
        <v>3</v>
      </c>
      <c r="L2" s="5">
        <v>7</v>
      </c>
      <c r="M2" s="5">
        <v>4</v>
      </c>
      <c r="N2" s="5">
        <v>2</v>
      </c>
      <c r="O2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5.5485843371044</v>
      </c>
      <c r="P2" s="39"/>
      <c r="Q2" s="3" t="s">
        <v>161</v>
      </c>
      <c r="R2" s="3" t="s">
        <v>162</v>
      </c>
      <c r="S2" s="3" t="s">
        <v>163</v>
      </c>
      <c r="T2" s="3" t="s">
        <v>164</v>
      </c>
      <c r="U2" s="3" t="s">
        <v>165</v>
      </c>
      <c r="V2" s="3" t="s">
        <v>166</v>
      </c>
      <c r="W2" s="3" t="s">
        <v>167</v>
      </c>
      <c r="X2" s="3" t="s">
        <v>168</v>
      </c>
      <c r="Y2" s="40">
        <f t="shared" ref="Y2:Y65" si="0">VALUE(RIGHT(R2,1))</f>
        <v>4</v>
      </c>
      <c r="Z2" s="14" t="s">
        <v>161</v>
      </c>
      <c r="AA2" s="14">
        <v>75.906</v>
      </c>
      <c r="AB2" s="14">
        <v>46.64</v>
      </c>
      <c r="AC2" s="14">
        <v>280.161</v>
      </c>
      <c r="AD2" s="14">
        <v>58.779</v>
      </c>
      <c r="AE2" s="14">
        <v>6324.801</v>
      </c>
      <c r="AF2" s="14">
        <v>67.074</v>
      </c>
      <c r="AG2" s="14">
        <v>131.615</v>
      </c>
      <c r="AH2" s="28">
        <f t="shared" ref="AH2:AH65" si="1">MATCH(MIN(AA2:AG2),AA2:AG2,0)</f>
        <v>2</v>
      </c>
      <c r="AI2" s="14" t="s">
        <v>161</v>
      </c>
      <c r="AJ2" s="14">
        <v>1e-6</v>
      </c>
      <c r="AK2" s="14">
        <v>0.996517</v>
      </c>
      <c r="AL2" s="14">
        <v>0</v>
      </c>
      <c r="AM2" s="14">
        <v>0.003455</v>
      </c>
      <c r="AN2" s="14">
        <v>0</v>
      </c>
      <c r="AO2" s="14">
        <v>2.7e-5</v>
      </c>
      <c r="AP2" s="14">
        <v>0</v>
      </c>
      <c r="AQ2" s="28">
        <f t="shared" ref="AQ2:AQ65" si="2">MATCH(MAX(AJ2:AP2),AJ2:AP2,0)</f>
        <v>2</v>
      </c>
      <c r="AR2" s="14" t="s">
        <v>161</v>
      </c>
      <c r="AS2" s="14" t="s">
        <v>162</v>
      </c>
      <c r="AT2" s="14" t="s">
        <v>163</v>
      </c>
      <c r="AU2" s="14" t="s">
        <v>164</v>
      </c>
      <c r="AV2" s="14" t="s">
        <v>165</v>
      </c>
      <c r="AW2" s="14" t="s">
        <v>166</v>
      </c>
      <c r="AX2" s="14" t="s">
        <v>167</v>
      </c>
      <c r="AY2" s="14" t="s">
        <v>168</v>
      </c>
      <c r="AZ2" s="40">
        <f t="shared" ref="AZ2:AZ65" si="3">VALUE(RIGHT(AS2,1))</f>
        <v>4</v>
      </c>
      <c r="BA2" s="14" t="s">
        <v>161</v>
      </c>
      <c r="BB2" s="14">
        <v>63.023</v>
      </c>
      <c r="BC2" s="14">
        <v>27.815</v>
      </c>
      <c r="BD2" s="14">
        <v>368.295</v>
      </c>
      <c r="BE2" s="14">
        <v>28.253</v>
      </c>
      <c r="BF2" s="14">
        <v>6888.062</v>
      </c>
      <c r="BG2" s="14">
        <v>90.704</v>
      </c>
      <c r="BH2" s="14">
        <v>184.242</v>
      </c>
      <c r="BI2" s="28">
        <f t="shared" ref="BI2:BI65" si="4">MATCH(MIN(BB2:BH2),BB2:BH2,0)</f>
        <v>2</v>
      </c>
      <c r="BJ2" s="14" t="s">
        <v>161</v>
      </c>
      <c r="BK2" s="14">
        <v>0</v>
      </c>
      <c r="BL2" s="14">
        <v>0.453512</v>
      </c>
      <c r="BM2" s="14">
        <v>0</v>
      </c>
      <c r="BN2" s="14">
        <v>0.546488</v>
      </c>
      <c r="BO2" s="14">
        <v>0</v>
      </c>
      <c r="BP2" s="14">
        <v>0</v>
      </c>
      <c r="BQ2" s="14">
        <v>0</v>
      </c>
      <c r="BR2" s="28">
        <f t="shared" ref="BR2:BR65" si="5">MATCH(MAX(BK2:BQ2),BK2:BQ2,0)</f>
        <v>4</v>
      </c>
      <c r="BS2" s="28">
        <f t="shared" ref="BS2:BS65" si="6">IF(P2=Y2,1,0)</f>
        <v>0</v>
      </c>
      <c r="BT2" s="28">
        <f t="shared" ref="BT2:BT65" si="7">IF(P2=AZ2,1,0)</f>
        <v>0</v>
      </c>
      <c r="BU2" s="28">
        <f t="shared" ref="BU2:BU65" si="8">IF(N2=Y2,1,0)</f>
        <v>0</v>
      </c>
      <c r="BV2" s="28">
        <f t="shared" ref="BV2:BV65" si="9">IF(N2=AZ2,1,0)</f>
        <v>0</v>
      </c>
      <c r="BW2" s="14">
        <v>1</v>
      </c>
      <c r="BX2" s="15">
        <v>1</v>
      </c>
    </row>
    <row r="3" spans="1:76">
      <c r="A3" s="34" t="s">
        <v>11</v>
      </c>
      <c r="B3" s="35">
        <v>1.88382623461283</v>
      </c>
      <c r="C3" s="35">
        <v>-0.0524777003382589</v>
      </c>
      <c r="D3" s="35">
        <v>0.0756442663248094</v>
      </c>
      <c r="E3" s="35">
        <v>-0.374020277535241</v>
      </c>
      <c r="F3" s="35">
        <v>-0.4077317955896</v>
      </c>
      <c r="G3" s="35">
        <v>-0.880585162948231</v>
      </c>
      <c r="H3" s="35">
        <v>0.582194244923517</v>
      </c>
      <c r="I3" s="35">
        <v>-0.0776953607483178</v>
      </c>
      <c r="J3" s="35">
        <v>1.19980995645114</v>
      </c>
      <c r="K3" s="6">
        <v>3</v>
      </c>
      <c r="L3" s="6">
        <v>7</v>
      </c>
      <c r="M3" s="6">
        <v>6</v>
      </c>
      <c r="N3" s="6">
        <v>4</v>
      </c>
      <c r="O3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6.42337450012613</v>
      </c>
      <c r="P3" s="39"/>
      <c r="Q3" s="3" t="s">
        <v>161</v>
      </c>
      <c r="R3" s="3" t="s">
        <v>162</v>
      </c>
      <c r="S3" s="3" t="s">
        <v>165</v>
      </c>
      <c r="T3" s="3" t="s">
        <v>163</v>
      </c>
      <c r="U3" s="3" t="s">
        <v>164</v>
      </c>
      <c r="V3" s="3" t="s">
        <v>168</v>
      </c>
      <c r="W3" s="3" t="s">
        <v>166</v>
      </c>
      <c r="X3" s="3" t="s">
        <v>167</v>
      </c>
      <c r="Y3" s="40">
        <f t="shared" si="0"/>
        <v>4</v>
      </c>
      <c r="Z3" s="14" t="s">
        <v>162</v>
      </c>
      <c r="AA3" s="14">
        <v>61.134</v>
      </c>
      <c r="AB3" s="14">
        <v>37.35</v>
      </c>
      <c r="AC3" s="14">
        <v>381.805</v>
      </c>
      <c r="AD3" s="14">
        <v>8.542</v>
      </c>
      <c r="AE3" s="14">
        <v>6583.819</v>
      </c>
      <c r="AF3" s="14">
        <v>75.464</v>
      </c>
      <c r="AG3" s="14">
        <v>160.661</v>
      </c>
      <c r="AH3" s="28">
        <f t="shared" si="1"/>
        <v>4</v>
      </c>
      <c r="AI3" s="14" t="s">
        <v>162</v>
      </c>
      <c r="AJ3" s="14">
        <v>0</v>
      </c>
      <c r="AK3" s="14">
        <v>0</v>
      </c>
      <c r="AL3" s="14">
        <v>0</v>
      </c>
      <c r="AM3" s="14">
        <v>1</v>
      </c>
      <c r="AN3" s="14">
        <v>0</v>
      </c>
      <c r="AO3" s="14">
        <v>0</v>
      </c>
      <c r="AP3" s="14">
        <v>0</v>
      </c>
      <c r="AQ3" s="28">
        <f t="shared" si="2"/>
        <v>4</v>
      </c>
      <c r="AR3" s="14" t="s">
        <v>161</v>
      </c>
      <c r="AS3" s="14" t="s">
        <v>162</v>
      </c>
      <c r="AT3" s="14" t="s">
        <v>163</v>
      </c>
      <c r="AU3" s="14" t="s">
        <v>165</v>
      </c>
      <c r="AV3" s="14" t="s">
        <v>164</v>
      </c>
      <c r="AW3" s="14" t="s">
        <v>168</v>
      </c>
      <c r="AX3" s="14" t="s">
        <v>166</v>
      </c>
      <c r="AY3" s="14" t="s">
        <v>167</v>
      </c>
      <c r="AZ3" s="40">
        <f t="shared" si="3"/>
        <v>4</v>
      </c>
      <c r="BA3" s="14" t="s">
        <v>161</v>
      </c>
      <c r="BB3" s="14">
        <v>48.877</v>
      </c>
      <c r="BC3" s="14">
        <v>30.072</v>
      </c>
      <c r="BD3" s="14">
        <v>267.06</v>
      </c>
      <c r="BE3" s="14">
        <v>11.471</v>
      </c>
      <c r="BF3" s="14">
        <v>6305.266</v>
      </c>
      <c r="BG3" s="14">
        <v>31.973</v>
      </c>
      <c r="BH3" s="14">
        <v>150.199</v>
      </c>
      <c r="BI3" s="28">
        <f t="shared" si="4"/>
        <v>4</v>
      </c>
      <c r="BJ3" s="14" t="s">
        <v>161</v>
      </c>
      <c r="BK3" s="14">
        <v>0</v>
      </c>
      <c r="BL3" s="14">
        <v>6.1e-5</v>
      </c>
      <c r="BM3" s="14">
        <v>0</v>
      </c>
      <c r="BN3" s="14">
        <v>0.999921</v>
      </c>
      <c r="BO3" s="14">
        <v>0</v>
      </c>
      <c r="BP3" s="14">
        <v>1.8e-5</v>
      </c>
      <c r="BQ3" s="14">
        <v>0</v>
      </c>
      <c r="BR3" s="28">
        <f t="shared" si="5"/>
        <v>4</v>
      </c>
      <c r="BS3" s="28">
        <f t="shared" si="6"/>
        <v>0</v>
      </c>
      <c r="BT3" s="28">
        <f t="shared" si="7"/>
        <v>0</v>
      </c>
      <c r="BU3" s="28">
        <f t="shared" si="8"/>
        <v>1</v>
      </c>
      <c r="BV3" s="28">
        <f t="shared" si="9"/>
        <v>1</v>
      </c>
      <c r="BW3" s="14">
        <v>5</v>
      </c>
      <c r="BX3" s="15">
        <v>5</v>
      </c>
    </row>
    <row r="4" spans="1:76">
      <c r="A4" s="36" t="s">
        <v>12</v>
      </c>
      <c r="B4" s="37">
        <v>0.138795249934331</v>
      </c>
      <c r="C4" s="37">
        <v>1.34639379639385</v>
      </c>
      <c r="D4" s="37">
        <v>1.40890299402554</v>
      </c>
      <c r="E4" s="37">
        <v>-0.0158036736986726</v>
      </c>
      <c r="F4" s="37">
        <v>0.881653480016356</v>
      </c>
      <c r="G4" s="37">
        <v>-0.71999967986768</v>
      </c>
      <c r="H4" s="37">
        <v>0.86599244914899</v>
      </c>
      <c r="I4" s="37">
        <v>-0.125963140116453</v>
      </c>
      <c r="J4" s="37">
        <v>0.237003547322308</v>
      </c>
      <c r="K4" s="7">
        <v>4</v>
      </c>
      <c r="L4" s="7">
        <v>6</v>
      </c>
      <c r="M4" s="7">
        <v>6</v>
      </c>
      <c r="N4" s="7">
        <v>2</v>
      </c>
      <c r="O4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5.93499049297758</v>
      </c>
      <c r="P4" s="39"/>
      <c r="Q4" s="3" t="s">
        <v>161</v>
      </c>
      <c r="R4" s="3" t="s">
        <v>163</v>
      </c>
      <c r="S4" s="3" t="s">
        <v>164</v>
      </c>
      <c r="T4" s="3" t="s">
        <v>162</v>
      </c>
      <c r="U4" s="3" t="s">
        <v>165</v>
      </c>
      <c r="V4" s="3" t="s">
        <v>168</v>
      </c>
      <c r="W4" s="3" t="s">
        <v>166</v>
      </c>
      <c r="X4" s="3" t="s">
        <v>167</v>
      </c>
      <c r="Y4" s="40">
        <f t="shared" si="0"/>
        <v>2</v>
      </c>
      <c r="Z4" s="14" t="s">
        <v>163</v>
      </c>
      <c r="AA4" s="14">
        <v>21.133</v>
      </c>
      <c r="AB4" s="14">
        <v>9.131</v>
      </c>
      <c r="AC4" s="14">
        <v>225.646</v>
      </c>
      <c r="AD4" s="14">
        <v>27.656</v>
      </c>
      <c r="AE4" s="14">
        <v>6399.053</v>
      </c>
      <c r="AF4" s="14">
        <v>73.615</v>
      </c>
      <c r="AG4" s="14">
        <v>82.437</v>
      </c>
      <c r="AH4" s="28">
        <f t="shared" si="1"/>
        <v>2</v>
      </c>
      <c r="AI4" s="14" t="s">
        <v>163</v>
      </c>
      <c r="AJ4" s="14">
        <v>0.00615</v>
      </c>
      <c r="AK4" s="14">
        <v>0.993709</v>
      </c>
      <c r="AL4" s="14">
        <v>0</v>
      </c>
      <c r="AM4" s="14">
        <v>0.000141</v>
      </c>
      <c r="AN4" s="14">
        <v>0</v>
      </c>
      <c r="AO4" s="14">
        <v>0</v>
      </c>
      <c r="AP4" s="14">
        <v>0</v>
      </c>
      <c r="AQ4" s="28">
        <f t="shared" si="2"/>
        <v>2</v>
      </c>
      <c r="AR4" s="14" t="s">
        <v>161</v>
      </c>
      <c r="AS4" s="14" t="s">
        <v>163</v>
      </c>
      <c r="AT4" s="14" t="s">
        <v>164</v>
      </c>
      <c r="AU4" s="14" t="s">
        <v>162</v>
      </c>
      <c r="AV4" s="14" t="s">
        <v>165</v>
      </c>
      <c r="AW4" s="14" t="s">
        <v>168</v>
      </c>
      <c r="AX4" s="14" t="s">
        <v>166</v>
      </c>
      <c r="AY4" s="14" t="s">
        <v>167</v>
      </c>
      <c r="AZ4" s="40">
        <f t="shared" si="3"/>
        <v>2</v>
      </c>
      <c r="BA4" s="14" t="s">
        <v>161</v>
      </c>
      <c r="BB4" s="14">
        <v>38.233</v>
      </c>
      <c r="BC4" s="14">
        <v>27.859</v>
      </c>
      <c r="BD4" s="14">
        <v>189.483</v>
      </c>
      <c r="BE4" s="14">
        <v>43.578</v>
      </c>
      <c r="BF4" s="14">
        <v>6119.401</v>
      </c>
      <c r="BG4" s="14">
        <v>43.144</v>
      </c>
      <c r="BH4" s="14">
        <v>59.778</v>
      </c>
      <c r="BI4" s="28">
        <f t="shared" si="4"/>
        <v>2</v>
      </c>
      <c r="BJ4" s="14" t="s">
        <v>161</v>
      </c>
      <c r="BK4" s="14">
        <v>0.013767</v>
      </c>
      <c r="BL4" s="14">
        <v>0.985308</v>
      </c>
      <c r="BM4" s="14">
        <v>0</v>
      </c>
      <c r="BN4" s="14">
        <v>0.00057</v>
      </c>
      <c r="BO4" s="14">
        <v>0</v>
      </c>
      <c r="BP4" s="14">
        <v>0.000354</v>
      </c>
      <c r="BQ4" s="14">
        <v>0</v>
      </c>
      <c r="BR4" s="28">
        <f t="shared" si="5"/>
        <v>2</v>
      </c>
      <c r="BS4" s="28">
        <f t="shared" si="6"/>
        <v>0</v>
      </c>
      <c r="BT4" s="28">
        <f t="shared" si="7"/>
        <v>0</v>
      </c>
      <c r="BU4" s="28">
        <f t="shared" si="8"/>
        <v>1</v>
      </c>
      <c r="BV4" s="28">
        <f t="shared" si="9"/>
        <v>1</v>
      </c>
      <c r="BW4" s="14">
        <v>4</v>
      </c>
      <c r="BX4" s="15">
        <v>6</v>
      </c>
    </row>
    <row r="5" spans="1:76">
      <c r="A5" s="34" t="s">
        <v>13</v>
      </c>
      <c r="B5" s="35">
        <v>-0.60758110039217</v>
      </c>
      <c r="C5" s="35">
        <v>-0.763458704959678</v>
      </c>
      <c r="D5" s="35">
        <v>-0.609002107359348</v>
      </c>
      <c r="E5" s="35">
        <v>0.581223999362275</v>
      </c>
      <c r="F5" s="35">
        <v>-0.429835543171417</v>
      </c>
      <c r="G5" s="35">
        <v>-0.26782476698297</v>
      </c>
      <c r="H5" s="35">
        <v>-0.540410748403858</v>
      </c>
      <c r="I5" s="35">
        <v>-0.124749604044578</v>
      </c>
      <c r="J5" s="35">
        <v>-0.711811378398931</v>
      </c>
      <c r="K5" s="6">
        <v>3</v>
      </c>
      <c r="L5" s="6">
        <v>7</v>
      </c>
      <c r="M5" s="6">
        <v>5</v>
      </c>
      <c r="N5" s="6">
        <v>1</v>
      </c>
      <c r="O5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2.73149927103609</v>
      </c>
      <c r="P5" s="39"/>
      <c r="Q5" s="3" t="s">
        <v>161</v>
      </c>
      <c r="R5" s="3" t="s">
        <v>164</v>
      </c>
      <c r="S5" s="3" t="s">
        <v>163</v>
      </c>
      <c r="T5" s="3" t="s">
        <v>162</v>
      </c>
      <c r="U5" s="3" t="s">
        <v>168</v>
      </c>
      <c r="V5" s="3" t="s">
        <v>165</v>
      </c>
      <c r="W5" s="3" t="s">
        <v>166</v>
      </c>
      <c r="X5" s="3" t="s">
        <v>167</v>
      </c>
      <c r="Y5" s="40">
        <f t="shared" si="0"/>
        <v>1</v>
      </c>
      <c r="Z5" s="14" t="s">
        <v>161</v>
      </c>
      <c r="AA5" s="14">
        <v>78.955</v>
      </c>
      <c r="AB5" s="14">
        <v>107.52</v>
      </c>
      <c r="AC5" s="14">
        <v>67.34</v>
      </c>
      <c r="AD5" s="14">
        <v>106.935</v>
      </c>
      <c r="AE5" s="14">
        <v>5548.796</v>
      </c>
      <c r="AF5" s="14">
        <v>135.186</v>
      </c>
      <c r="AG5" s="14">
        <v>124.338</v>
      </c>
      <c r="AH5" s="28">
        <f t="shared" si="1"/>
        <v>3</v>
      </c>
      <c r="AI5" s="14" t="s">
        <v>161</v>
      </c>
      <c r="AJ5" s="14">
        <v>0.014806</v>
      </c>
      <c r="AK5" s="14">
        <v>0</v>
      </c>
      <c r="AL5" s="14">
        <v>0.985194</v>
      </c>
      <c r="AM5" s="14">
        <v>0</v>
      </c>
      <c r="AN5" s="14">
        <v>0</v>
      </c>
      <c r="AO5" s="14">
        <v>0</v>
      </c>
      <c r="AP5" s="14">
        <v>0</v>
      </c>
      <c r="AQ5" s="28">
        <f t="shared" si="2"/>
        <v>3</v>
      </c>
      <c r="AR5" s="14" t="s">
        <v>161</v>
      </c>
      <c r="AS5" s="14" t="s">
        <v>164</v>
      </c>
      <c r="AT5" s="14" t="s">
        <v>163</v>
      </c>
      <c r="AU5" s="14" t="s">
        <v>162</v>
      </c>
      <c r="AV5" s="14" t="s">
        <v>168</v>
      </c>
      <c r="AW5" s="14" t="s">
        <v>165</v>
      </c>
      <c r="AX5" s="14" t="s">
        <v>166</v>
      </c>
      <c r="AY5" s="14" t="s">
        <v>167</v>
      </c>
      <c r="AZ5" s="40">
        <f t="shared" si="3"/>
        <v>1</v>
      </c>
      <c r="BA5" s="14" t="s">
        <v>161</v>
      </c>
      <c r="BB5" s="14">
        <v>24.177</v>
      </c>
      <c r="BC5" s="14">
        <v>35.614</v>
      </c>
      <c r="BD5" s="14">
        <v>86.953</v>
      </c>
      <c r="BE5" s="14">
        <v>54.149</v>
      </c>
      <c r="BF5" s="14">
        <v>6145.802</v>
      </c>
      <c r="BG5" s="14">
        <v>60.567</v>
      </c>
      <c r="BH5" s="14">
        <v>56.288</v>
      </c>
      <c r="BI5" s="28">
        <f t="shared" si="4"/>
        <v>1</v>
      </c>
      <c r="BJ5" s="14" t="s">
        <v>161</v>
      </c>
      <c r="BK5" s="14">
        <v>0.998688</v>
      </c>
      <c r="BL5" s="14">
        <v>0.001312</v>
      </c>
      <c r="BM5" s="14">
        <v>0</v>
      </c>
      <c r="BN5" s="14">
        <v>0</v>
      </c>
      <c r="BO5" s="14">
        <v>0</v>
      </c>
      <c r="BP5" s="14">
        <v>0</v>
      </c>
      <c r="BQ5" s="14">
        <v>0</v>
      </c>
      <c r="BR5" s="28">
        <f t="shared" si="5"/>
        <v>1</v>
      </c>
      <c r="BS5" s="28">
        <f t="shared" si="6"/>
        <v>0</v>
      </c>
      <c r="BT5" s="28">
        <f t="shared" si="7"/>
        <v>0</v>
      </c>
      <c r="BU5" s="28">
        <f t="shared" si="8"/>
        <v>1</v>
      </c>
      <c r="BV5" s="28">
        <f t="shared" si="9"/>
        <v>1</v>
      </c>
      <c r="BW5" s="14">
        <v>2</v>
      </c>
      <c r="BX5" s="15">
        <v>3</v>
      </c>
    </row>
    <row r="6" spans="1:76">
      <c r="A6" s="36" t="s">
        <v>14</v>
      </c>
      <c r="B6" s="37">
        <v>0.221682009137308</v>
      </c>
      <c r="C6" s="37">
        <v>-0.162760745165624</v>
      </c>
      <c r="D6" s="37">
        <v>-0.519379032801503</v>
      </c>
      <c r="E6" s="37">
        <v>-0.553128579453525</v>
      </c>
      <c r="F6" s="37">
        <v>0.0977072324479348</v>
      </c>
      <c r="G6" s="37">
        <v>0.839369879519777</v>
      </c>
      <c r="H6" s="37">
        <v>0.137958507502837</v>
      </c>
      <c r="I6" s="37">
        <v>-0.278902034829083</v>
      </c>
      <c r="J6" s="37">
        <v>1.83681418869916</v>
      </c>
      <c r="K6" s="7">
        <v>3</v>
      </c>
      <c r="L6" s="7">
        <v>7</v>
      </c>
      <c r="M6" s="7">
        <v>4</v>
      </c>
      <c r="N6" s="7">
        <v>4</v>
      </c>
      <c r="O6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4.83613353501262</v>
      </c>
      <c r="P6" s="39"/>
      <c r="Q6" s="3" t="s">
        <v>161</v>
      </c>
      <c r="R6" s="3" t="s">
        <v>162</v>
      </c>
      <c r="S6" s="3" t="s">
        <v>164</v>
      </c>
      <c r="T6" s="3" t="s">
        <v>163</v>
      </c>
      <c r="U6" s="3" t="s">
        <v>165</v>
      </c>
      <c r="V6" s="3" t="s">
        <v>168</v>
      </c>
      <c r="W6" s="3" t="s">
        <v>166</v>
      </c>
      <c r="X6" s="3" t="s">
        <v>167</v>
      </c>
      <c r="Y6" s="40">
        <f t="shared" si="0"/>
        <v>4</v>
      </c>
      <c r="Z6" s="14" t="s">
        <v>161</v>
      </c>
      <c r="AA6" s="14">
        <v>29.537</v>
      </c>
      <c r="AB6" s="14">
        <v>27.904</v>
      </c>
      <c r="AC6" s="14">
        <v>231.998</v>
      </c>
      <c r="AD6" s="14">
        <v>24.123</v>
      </c>
      <c r="AE6" s="14">
        <v>6502.841</v>
      </c>
      <c r="AF6" s="14">
        <v>118.1</v>
      </c>
      <c r="AG6" s="14">
        <v>122.889</v>
      </c>
      <c r="AH6" s="28">
        <f t="shared" si="1"/>
        <v>4</v>
      </c>
      <c r="AI6" s="14" t="s">
        <v>161</v>
      </c>
      <c r="AJ6" s="14">
        <v>0.091775</v>
      </c>
      <c r="AK6" s="14">
        <v>0.083046</v>
      </c>
      <c r="AL6" s="14">
        <v>0</v>
      </c>
      <c r="AM6" s="14">
        <v>0.825179</v>
      </c>
      <c r="AN6" s="14">
        <v>0</v>
      </c>
      <c r="AO6" s="14">
        <v>0</v>
      </c>
      <c r="AP6" s="14">
        <v>0</v>
      </c>
      <c r="AQ6" s="28">
        <f t="shared" si="2"/>
        <v>4</v>
      </c>
      <c r="AR6" s="14" t="s">
        <v>161</v>
      </c>
      <c r="AS6" s="14" t="s">
        <v>162</v>
      </c>
      <c r="AT6" s="14" t="s">
        <v>164</v>
      </c>
      <c r="AU6" s="14" t="s">
        <v>163</v>
      </c>
      <c r="AV6" s="14" t="s">
        <v>165</v>
      </c>
      <c r="AW6" s="14" t="s">
        <v>168</v>
      </c>
      <c r="AX6" s="14" t="s">
        <v>166</v>
      </c>
      <c r="AY6" s="14" t="s">
        <v>167</v>
      </c>
      <c r="AZ6" s="40">
        <f t="shared" si="3"/>
        <v>4</v>
      </c>
      <c r="BA6" s="14" t="s">
        <v>161</v>
      </c>
      <c r="BB6" s="14">
        <v>39.17</v>
      </c>
      <c r="BC6" s="14">
        <v>51.298</v>
      </c>
      <c r="BD6" s="14">
        <v>205.786</v>
      </c>
      <c r="BE6" s="14">
        <v>18.614</v>
      </c>
      <c r="BF6" s="14">
        <v>6029.78</v>
      </c>
      <c r="BG6" s="14">
        <v>68.969</v>
      </c>
      <c r="BH6" s="14">
        <v>140.546</v>
      </c>
      <c r="BI6" s="28">
        <f t="shared" si="4"/>
        <v>4</v>
      </c>
      <c r="BJ6" s="14" t="s">
        <v>161</v>
      </c>
      <c r="BK6" s="14">
        <v>5.7e-5</v>
      </c>
      <c r="BL6" s="14">
        <v>0</v>
      </c>
      <c r="BM6" s="14">
        <v>0</v>
      </c>
      <c r="BN6" s="14">
        <v>0.999943</v>
      </c>
      <c r="BO6" s="14">
        <v>0</v>
      </c>
      <c r="BP6" s="14">
        <v>0</v>
      </c>
      <c r="BQ6" s="14">
        <v>0</v>
      </c>
      <c r="BR6" s="28">
        <f t="shared" si="5"/>
        <v>4</v>
      </c>
      <c r="BS6" s="28">
        <f t="shared" si="6"/>
        <v>0</v>
      </c>
      <c r="BT6" s="28">
        <f t="shared" si="7"/>
        <v>0</v>
      </c>
      <c r="BU6" s="28">
        <f t="shared" si="8"/>
        <v>1</v>
      </c>
      <c r="BV6" s="28">
        <f t="shared" si="9"/>
        <v>1</v>
      </c>
      <c r="BW6" s="14">
        <v>6</v>
      </c>
      <c r="BX6" s="15">
        <v>4</v>
      </c>
    </row>
    <row r="7" spans="1:76">
      <c r="A7" s="34" t="s">
        <v>15</v>
      </c>
      <c r="B7" s="35">
        <v>-0.419901368551207</v>
      </c>
      <c r="C7" s="35">
        <v>-0.508773798311482</v>
      </c>
      <c r="D7" s="35">
        <v>-0.0273760719556001</v>
      </c>
      <c r="E7" s="35">
        <v>-0.463574428494383</v>
      </c>
      <c r="F7" s="35">
        <v>0.190542972291564</v>
      </c>
      <c r="G7" s="35">
        <v>0.433680238053122</v>
      </c>
      <c r="H7" s="35">
        <v>-0.0648198868066543</v>
      </c>
      <c r="I7" s="35">
        <v>-0.255413228348304</v>
      </c>
      <c r="J7" s="35">
        <v>0.0470064171424996</v>
      </c>
      <c r="K7" s="6">
        <v>3</v>
      </c>
      <c r="L7" s="6">
        <v>7</v>
      </c>
      <c r="M7" s="6">
        <v>4</v>
      </c>
      <c r="N7" s="6">
        <v>1</v>
      </c>
      <c r="O7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0.946850948590117</v>
      </c>
      <c r="P7" s="39">
        <v>1</v>
      </c>
      <c r="Q7" s="3" t="s">
        <v>164</v>
      </c>
      <c r="R7" s="3" t="s">
        <v>164</v>
      </c>
      <c r="S7" s="3" t="s">
        <v>163</v>
      </c>
      <c r="T7" s="3" t="s">
        <v>162</v>
      </c>
      <c r="U7" s="3" t="s">
        <v>165</v>
      </c>
      <c r="V7" s="3" t="s">
        <v>168</v>
      </c>
      <c r="W7" s="3" t="s">
        <v>166</v>
      </c>
      <c r="X7" s="3" t="s">
        <v>167</v>
      </c>
      <c r="Y7" s="40">
        <f t="shared" si="0"/>
        <v>1</v>
      </c>
      <c r="Z7" s="14" t="s">
        <v>161</v>
      </c>
      <c r="AA7" s="14">
        <v>16.594</v>
      </c>
      <c r="AB7" s="14">
        <v>36.822</v>
      </c>
      <c r="AC7" s="14">
        <v>222.913</v>
      </c>
      <c r="AD7" s="14">
        <v>58.172</v>
      </c>
      <c r="AE7" s="14">
        <v>7094.416</v>
      </c>
      <c r="AF7" s="14">
        <v>90.666</v>
      </c>
      <c r="AG7" s="14">
        <v>78.884</v>
      </c>
      <c r="AH7" s="28">
        <f t="shared" si="1"/>
        <v>1</v>
      </c>
      <c r="AI7" s="14" t="s">
        <v>161</v>
      </c>
      <c r="AJ7" s="14">
        <v>0.999984</v>
      </c>
      <c r="AK7" s="14">
        <v>1.6e-5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28">
        <f t="shared" si="2"/>
        <v>1</v>
      </c>
      <c r="AR7" s="14" t="s">
        <v>164</v>
      </c>
      <c r="AS7" s="14" t="s">
        <v>164</v>
      </c>
      <c r="AT7" s="14" t="s">
        <v>163</v>
      </c>
      <c r="AU7" s="14" t="s">
        <v>162</v>
      </c>
      <c r="AV7" s="14" t="s">
        <v>165</v>
      </c>
      <c r="AW7" s="14" t="s">
        <v>168</v>
      </c>
      <c r="AX7" s="14" t="s">
        <v>166</v>
      </c>
      <c r="AY7" s="14" t="s">
        <v>167</v>
      </c>
      <c r="AZ7" s="40">
        <f t="shared" si="3"/>
        <v>1</v>
      </c>
      <c r="BA7" s="14" t="s">
        <v>164</v>
      </c>
      <c r="BB7" s="14">
        <v>3.58</v>
      </c>
      <c r="BC7" s="14">
        <v>18.167</v>
      </c>
      <c r="BD7" s="14">
        <v>151.326</v>
      </c>
      <c r="BE7" s="14">
        <v>24.995</v>
      </c>
      <c r="BF7" s="14">
        <v>6345.474</v>
      </c>
      <c r="BG7" s="14">
        <v>43.389</v>
      </c>
      <c r="BH7" s="14">
        <v>76.51</v>
      </c>
      <c r="BI7" s="28">
        <f t="shared" si="4"/>
        <v>1</v>
      </c>
      <c r="BJ7" s="14" t="s">
        <v>164</v>
      </c>
      <c r="BK7" s="14">
        <v>0.999715</v>
      </c>
      <c r="BL7" s="14">
        <v>0.000272</v>
      </c>
      <c r="BM7" s="14">
        <v>0</v>
      </c>
      <c r="BN7" s="14">
        <v>1.3e-5</v>
      </c>
      <c r="BO7" s="14">
        <v>0</v>
      </c>
      <c r="BP7" s="14">
        <v>0</v>
      </c>
      <c r="BQ7" s="14">
        <v>0</v>
      </c>
      <c r="BR7" s="28">
        <f t="shared" si="5"/>
        <v>1</v>
      </c>
      <c r="BS7" s="28">
        <f t="shared" si="6"/>
        <v>1</v>
      </c>
      <c r="BT7" s="28">
        <f t="shared" si="7"/>
        <v>1</v>
      </c>
      <c r="BU7" s="28">
        <f t="shared" si="8"/>
        <v>1</v>
      </c>
      <c r="BV7" s="28">
        <f t="shared" si="9"/>
        <v>1</v>
      </c>
      <c r="BW7" s="14">
        <v>6</v>
      </c>
      <c r="BX7" s="15">
        <v>4</v>
      </c>
    </row>
    <row r="8" spans="1:76">
      <c r="A8" s="36" t="s">
        <v>16</v>
      </c>
      <c r="B8" s="37">
        <v>-0.267724110611047</v>
      </c>
      <c r="C8" s="37">
        <v>-0.16000366904494</v>
      </c>
      <c r="D8" s="37">
        <v>0.696538143674005</v>
      </c>
      <c r="E8" s="37">
        <v>-0.672534114065715</v>
      </c>
      <c r="F8" s="37">
        <v>0.694508417156978</v>
      </c>
      <c r="G8" s="37">
        <v>-0.200209826738527</v>
      </c>
      <c r="H8" s="37">
        <v>-0.556889353810499</v>
      </c>
      <c r="I8" s="37">
        <v>-0.277067905162314</v>
      </c>
      <c r="J8" s="37">
        <v>0.404684817964085</v>
      </c>
      <c r="K8" s="7">
        <v>3</v>
      </c>
      <c r="L8" s="7">
        <v>7</v>
      </c>
      <c r="M8" s="7">
        <v>5</v>
      </c>
      <c r="N8" s="7">
        <v>2</v>
      </c>
      <c r="O8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2.107832988259</v>
      </c>
      <c r="P8" s="39"/>
      <c r="Q8" s="3" t="s">
        <v>161</v>
      </c>
      <c r="R8" s="3" t="s">
        <v>163</v>
      </c>
      <c r="S8" s="3" t="s">
        <v>164</v>
      </c>
      <c r="T8" s="3" t="s">
        <v>162</v>
      </c>
      <c r="U8" s="3" t="s">
        <v>165</v>
      </c>
      <c r="V8" s="3" t="s">
        <v>168</v>
      </c>
      <c r="W8" s="3" t="s">
        <v>166</v>
      </c>
      <c r="X8" s="3" t="s">
        <v>167</v>
      </c>
      <c r="Y8" s="40">
        <f t="shared" si="0"/>
        <v>2</v>
      </c>
      <c r="Z8" s="14" t="s">
        <v>163</v>
      </c>
      <c r="AA8" s="14">
        <v>20.78</v>
      </c>
      <c r="AB8" s="14">
        <v>6.989</v>
      </c>
      <c r="AC8" s="14">
        <v>279.363</v>
      </c>
      <c r="AD8" s="14">
        <v>33.063</v>
      </c>
      <c r="AE8" s="14">
        <v>6994.374</v>
      </c>
      <c r="AF8" s="14">
        <v>30.065</v>
      </c>
      <c r="AG8" s="14">
        <v>119.993</v>
      </c>
      <c r="AH8" s="28">
        <f t="shared" si="1"/>
        <v>2</v>
      </c>
      <c r="AI8" s="14" t="s">
        <v>163</v>
      </c>
      <c r="AJ8" s="14">
        <v>0.002524</v>
      </c>
      <c r="AK8" s="14">
        <v>0.997465</v>
      </c>
      <c r="AL8" s="14">
        <v>0</v>
      </c>
      <c r="AM8" s="14">
        <v>3e-6</v>
      </c>
      <c r="AN8" s="14">
        <v>0</v>
      </c>
      <c r="AO8" s="14">
        <v>7e-6</v>
      </c>
      <c r="AP8" s="14">
        <v>0</v>
      </c>
      <c r="AQ8" s="28">
        <f t="shared" si="2"/>
        <v>2</v>
      </c>
      <c r="AR8" s="14" t="s">
        <v>161</v>
      </c>
      <c r="AS8" s="14" t="s">
        <v>163</v>
      </c>
      <c r="AT8" s="14" t="s">
        <v>164</v>
      </c>
      <c r="AU8" s="14" t="s">
        <v>162</v>
      </c>
      <c r="AV8" s="14" t="s">
        <v>165</v>
      </c>
      <c r="AW8" s="14" t="s">
        <v>168</v>
      </c>
      <c r="AX8" s="14" t="s">
        <v>166</v>
      </c>
      <c r="AY8" s="14" t="s">
        <v>167</v>
      </c>
      <c r="AZ8" s="40">
        <f t="shared" si="3"/>
        <v>2</v>
      </c>
      <c r="BA8" s="14" t="s">
        <v>161</v>
      </c>
      <c r="BB8" s="14">
        <v>18.073</v>
      </c>
      <c r="BC8" s="14">
        <v>15.822</v>
      </c>
      <c r="BD8" s="14">
        <v>251.205</v>
      </c>
      <c r="BE8" s="14">
        <v>22.925</v>
      </c>
      <c r="BF8" s="14">
        <v>6695.865</v>
      </c>
      <c r="BG8" s="14">
        <v>73.17</v>
      </c>
      <c r="BH8" s="14">
        <v>88.885</v>
      </c>
      <c r="BI8" s="28">
        <f t="shared" si="4"/>
        <v>2</v>
      </c>
      <c r="BJ8" s="14" t="s">
        <v>161</v>
      </c>
      <c r="BK8" s="14">
        <v>0.437444</v>
      </c>
      <c r="BL8" s="14">
        <v>0.53935</v>
      </c>
      <c r="BM8" s="14">
        <v>0</v>
      </c>
      <c r="BN8" s="14">
        <v>0.023206</v>
      </c>
      <c r="BO8" s="14">
        <v>0</v>
      </c>
      <c r="BP8" s="14">
        <v>0</v>
      </c>
      <c r="BQ8" s="14">
        <v>0</v>
      </c>
      <c r="BR8" s="28">
        <f t="shared" si="5"/>
        <v>2</v>
      </c>
      <c r="BS8" s="28">
        <f t="shared" si="6"/>
        <v>0</v>
      </c>
      <c r="BT8" s="28">
        <f t="shared" si="7"/>
        <v>0</v>
      </c>
      <c r="BU8" s="28">
        <f t="shared" si="8"/>
        <v>1</v>
      </c>
      <c r="BV8" s="28">
        <f t="shared" si="9"/>
        <v>1</v>
      </c>
      <c r="BW8" s="14">
        <v>1</v>
      </c>
      <c r="BX8" s="15">
        <v>4</v>
      </c>
    </row>
    <row r="9" spans="1:76">
      <c r="A9" s="34" t="s">
        <v>17</v>
      </c>
      <c r="B9" s="35">
        <v>-0.530787475895215</v>
      </c>
      <c r="C9" s="35">
        <v>-0.416067113753478</v>
      </c>
      <c r="D9" s="35">
        <v>-0.847381006698771</v>
      </c>
      <c r="E9" s="35">
        <v>-0.553128579453525</v>
      </c>
      <c r="F9" s="35">
        <v>0.989225051581196</v>
      </c>
      <c r="G9" s="35">
        <v>-0.272050700748247</v>
      </c>
      <c r="H9" s="35">
        <v>-0.53343022805799</v>
      </c>
      <c r="I9" s="35">
        <v>-0.322725876416386</v>
      </c>
      <c r="J9" s="35">
        <v>-0.457073670141374</v>
      </c>
      <c r="K9" s="6">
        <v>3</v>
      </c>
      <c r="L9" s="6">
        <v>7</v>
      </c>
      <c r="M9" s="6">
        <v>5</v>
      </c>
      <c r="N9" s="6">
        <v>1</v>
      </c>
      <c r="O9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3.12904690954111</v>
      </c>
      <c r="P9" s="39"/>
      <c r="Q9" s="3" t="s">
        <v>161</v>
      </c>
      <c r="R9" s="3" t="s">
        <v>164</v>
      </c>
      <c r="S9" s="3" t="s">
        <v>163</v>
      </c>
      <c r="T9" s="3" t="s">
        <v>162</v>
      </c>
      <c r="U9" s="3" t="s">
        <v>168</v>
      </c>
      <c r="V9" s="3" t="s">
        <v>165</v>
      </c>
      <c r="W9" s="3" t="s">
        <v>166</v>
      </c>
      <c r="X9" s="3" t="s">
        <v>167</v>
      </c>
      <c r="Y9" s="40">
        <f t="shared" si="0"/>
        <v>1</v>
      </c>
      <c r="Z9" s="14" t="s">
        <v>161</v>
      </c>
      <c r="AA9" s="14">
        <v>31.23</v>
      </c>
      <c r="AB9" s="14">
        <v>64.648</v>
      </c>
      <c r="AC9" s="14">
        <v>171.466</v>
      </c>
      <c r="AD9" s="14">
        <v>81.021</v>
      </c>
      <c r="AE9" s="14">
        <v>6412.483</v>
      </c>
      <c r="AF9" s="14">
        <v>72.451</v>
      </c>
      <c r="AG9" s="14">
        <v>135.711</v>
      </c>
      <c r="AH9" s="28">
        <f t="shared" si="1"/>
        <v>1</v>
      </c>
      <c r="AI9" s="14" t="s">
        <v>161</v>
      </c>
      <c r="AJ9" s="14">
        <v>1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28">
        <f t="shared" si="2"/>
        <v>1</v>
      </c>
      <c r="AR9" s="14" t="s">
        <v>161</v>
      </c>
      <c r="AS9" s="14" t="s">
        <v>164</v>
      </c>
      <c r="AT9" s="14" t="s">
        <v>163</v>
      </c>
      <c r="AU9" s="14" t="s">
        <v>162</v>
      </c>
      <c r="AV9" s="14" t="s">
        <v>168</v>
      </c>
      <c r="AW9" s="14" t="s">
        <v>165</v>
      </c>
      <c r="AX9" s="14" t="s">
        <v>166</v>
      </c>
      <c r="AY9" s="14" t="s">
        <v>167</v>
      </c>
      <c r="AZ9" s="40">
        <f t="shared" si="3"/>
        <v>1</v>
      </c>
      <c r="BA9" s="14" t="s">
        <v>161</v>
      </c>
      <c r="BB9" s="14">
        <v>13.499</v>
      </c>
      <c r="BC9" s="14">
        <v>31.828</v>
      </c>
      <c r="BD9" s="14">
        <v>200.447</v>
      </c>
      <c r="BE9" s="14">
        <v>51.541</v>
      </c>
      <c r="BF9" s="14">
        <v>6933.517</v>
      </c>
      <c r="BG9" s="14">
        <v>66.765</v>
      </c>
      <c r="BH9" s="14">
        <v>65.129</v>
      </c>
      <c r="BI9" s="28">
        <f t="shared" si="4"/>
        <v>1</v>
      </c>
      <c r="BJ9" s="14" t="s">
        <v>161</v>
      </c>
      <c r="BK9" s="14">
        <v>0.999958</v>
      </c>
      <c r="BL9" s="14">
        <v>4.2e-5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28">
        <f t="shared" si="5"/>
        <v>1</v>
      </c>
      <c r="BS9" s="28">
        <f t="shared" si="6"/>
        <v>0</v>
      </c>
      <c r="BT9" s="28">
        <f t="shared" si="7"/>
        <v>0</v>
      </c>
      <c r="BU9" s="28">
        <f t="shared" si="8"/>
        <v>1</v>
      </c>
      <c r="BV9" s="28">
        <f t="shared" si="9"/>
        <v>1</v>
      </c>
      <c r="BW9" s="14">
        <v>6</v>
      </c>
      <c r="BX9" s="15">
        <v>4</v>
      </c>
    </row>
    <row r="10" spans="1:76">
      <c r="A10" s="36" t="s">
        <v>18</v>
      </c>
      <c r="B10" s="37">
        <v>-0.411784783653526</v>
      </c>
      <c r="C10" s="37">
        <v>0.15051202904711</v>
      </c>
      <c r="D10" s="37">
        <v>1.10908147140677</v>
      </c>
      <c r="E10" s="37">
        <v>-0.284466126576099</v>
      </c>
      <c r="F10" s="37">
        <v>0.558938765321837</v>
      </c>
      <c r="G10" s="37">
        <v>0.289998490033681</v>
      </c>
      <c r="H10" s="37">
        <v>-0.434558595618148</v>
      </c>
      <c r="I10" s="37">
        <v>-0.262557049353001</v>
      </c>
      <c r="J10" s="37">
        <v>-0.679497981163139</v>
      </c>
      <c r="K10" s="7">
        <v>3</v>
      </c>
      <c r="L10" s="7">
        <v>7</v>
      </c>
      <c r="M10" s="7">
        <v>5</v>
      </c>
      <c r="N10" s="7">
        <v>2</v>
      </c>
      <c r="O10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2.61920981752015</v>
      </c>
      <c r="P10" s="39"/>
      <c r="Q10" s="3" t="s">
        <v>161</v>
      </c>
      <c r="R10" s="3" t="s">
        <v>164</v>
      </c>
      <c r="S10" s="3" t="s">
        <v>163</v>
      </c>
      <c r="T10" s="3" t="s">
        <v>162</v>
      </c>
      <c r="U10" s="3" t="s">
        <v>168</v>
      </c>
      <c r="V10" s="3" t="s">
        <v>165</v>
      </c>
      <c r="W10" s="3" t="s">
        <v>166</v>
      </c>
      <c r="X10" s="3" t="s">
        <v>167</v>
      </c>
      <c r="Y10" s="40">
        <f t="shared" si="0"/>
        <v>1</v>
      </c>
      <c r="Z10" s="14" t="s">
        <v>163</v>
      </c>
      <c r="AA10" s="14">
        <v>18.054</v>
      </c>
      <c r="AB10" s="14">
        <v>6.915</v>
      </c>
      <c r="AC10" s="14">
        <v>269.48</v>
      </c>
      <c r="AD10" s="14">
        <v>33.995</v>
      </c>
      <c r="AE10" s="14">
        <v>6896.175</v>
      </c>
      <c r="AF10" s="14">
        <v>44.627</v>
      </c>
      <c r="AG10" s="14">
        <v>95.584</v>
      </c>
      <c r="AH10" s="28">
        <f t="shared" si="1"/>
        <v>2</v>
      </c>
      <c r="AI10" s="14" t="s">
        <v>163</v>
      </c>
      <c r="AJ10" s="14">
        <v>0.009441</v>
      </c>
      <c r="AK10" s="14">
        <v>0.990557</v>
      </c>
      <c r="AL10" s="14">
        <v>0</v>
      </c>
      <c r="AM10" s="14">
        <v>2e-6</v>
      </c>
      <c r="AN10" s="14">
        <v>0</v>
      </c>
      <c r="AO10" s="14">
        <v>0</v>
      </c>
      <c r="AP10" s="14">
        <v>0</v>
      </c>
      <c r="AQ10" s="28">
        <f t="shared" si="2"/>
        <v>2</v>
      </c>
      <c r="AR10" s="14" t="s">
        <v>161</v>
      </c>
      <c r="AS10" s="14" t="s">
        <v>164</v>
      </c>
      <c r="AT10" s="14" t="s">
        <v>163</v>
      </c>
      <c r="AU10" s="14" t="s">
        <v>162</v>
      </c>
      <c r="AV10" s="14" t="s">
        <v>168</v>
      </c>
      <c r="AW10" s="14" t="s">
        <v>165</v>
      </c>
      <c r="AX10" s="14" t="s">
        <v>166</v>
      </c>
      <c r="AY10" s="14" t="s">
        <v>167</v>
      </c>
      <c r="AZ10" s="40">
        <f t="shared" si="3"/>
        <v>1</v>
      </c>
      <c r="BA10" s="14" t="s">
        <v>161</v>
      </c>
      <c r="BB10" s="14">
        <v>13.326</v>
      </c>
      <c r="BC10" s="14">
        <v>23.445</v>
      </c>
      <c r="BD10" s="14">
        <v>155.016</v>
      </c>
      <c r="BE10" s="14">
        <v>53.443</v>
      </c>
      <c r="BF10" s="14">
        <v>6425.908</v>
      </c>
      <c r="BG10" s="14">
        <v>76.719</v>
      </c>
      <c r="BH10" s="14">
        <v>52.696</v>
      </c>
      <c r="BI10" s="28">
        <f t="shared" si="4"/>
        <v>1</v>
      </c>
      <c r="BJ10" s="14" t="s">
        <v>161</v>
      </c>
      <c r="BK10" s="14">
        <v>0.997466</v>
      </c>
      <c r="BL10" s="14">
        <v>0.002534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28">
        <f t="shared" si="5"/>
        <v>1</v>
      </c>
      <c r="BS10" s="28">
        <f t="shared" si="6"/>
        <v>0</v>
      </c>
      <c r="BT10" s="28">
        <f t="shared" si="7"/>
        <v>0</v>
      </c>
      <c r="BU10" s="28">
        <f t="shared" si="8"/>
        <v>0</v>
      </c>
      <c r="BV10" s="28">
        <f t="shared" si="9"/>
        <v>0</v>
      </c>
      <c r="BW10" s="14">
        <v>1</v>
      </c>
      <c r="BX10" s="15">
        <v>1</v>
      </c>
    </row>
    <row r="11" spans="1:76">
      <c r="A11" s="34" t="s">
        <v>19</v>
      </c>
      <c r="B11" s="35">
        <v>0.166559788346095</v>
      </c>
      <c r="C11" s="35">
        <v>-0.499468666404173</v>
      </c>
      <c r="D11" s="35">
        <v>-1.10146704281637</v>
      </c>
      <c r="E11" s="35">
        <v>-0.493425812147431</v>
      </c>
      <c r="F11" s="35">
        <v>-0.485831703712018</v>
      </c>
      <c r="G11" s="35">
        <v>0.150542675779518</v>
      </c>
      <c r="H11" s="35">
        <v>0.325974817802213</v>
      </c>
      <c r="I11" s="35">
        <v>-0.298784995868264</v>
      </c>
      <c r="J11" s="35">
        <v>1.20087819212404</v>
      </c>
      <c r="K11" s="6">
        <v>3</v>
      </c>
      <c r="L11" s="6">
        <v>7</v>
      </c>
      <c r="M11" s="6">
        <v>4</v>
      </c>
      <c r="N11" s="6">
        <v>4</v>
      </c>
      <c r="O11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3.63024581979633</v>
      </c>
      <c r="P11" s="39"/>
      <c r="Q11" s="3" t="s">
        <v>161</v>
      </c>
      <c r="R11" s="3" t="s">
        <v>162</v>
      </c>
      <c r="S11" s="3" t="s">
        <v>164</v>
      </c>
      <c r="T11" s="3" t="s">
        <v>165</v>
      </c>
      <c r="U11" s="3" t="s">
        <v>163</v>
      </c>
      <c r="V11" s="3" t="s">
        <v>168</v>
      </c>
      <c r="W11" s="3" t="s">
        <v>166</v>
      </c>
      <c r="X11" s="3" t="s">
        <v>167</v>
      </c>
      <c r="Y11" s="40">
        <f t="shared" si="0"/>
        <v>4</v>
      </c>
      <c r="Z11" s="14" t="s">
        <v>162</v>
      </c>
      <c r="AA11" s="14">
        <v>14.969</v>
      </c>
      <c r="AB11" s="14">
        <v>12.037</v>
      </c>
      <c r="AC11" s="14">
        <v>269.425</v>
      </c>
      <c r="AD11" s="14">
        <v>7.336</v>
      </c>
      <c r="AE11" s="14">
        <v>6693.464</v>
      </c>
      <c r="AF11" s="14">
        <v>60.126</v>
      </c>
      <c r="AG11" s="14">
        <v>135.275</v>
      </c>
      <c r="AH11" s="28">
        <f t="shared" si="1"/>
        <v>4</v>
      </c>
      <c r="AI11" s="14" t="s">
        <v>162</v>
      </c>
      <c r="AJ11" s="14">
        <v>0.033339</v>
      </c>
      <c r="AK11" s="14">
        <v>0.057764</v>
      </c>
      <c r="AL11" s="14">
        <v>0</v>
      </c>
      <c r="AM11" s="14">
        <v>0.908897</v>
      </c>
      <c r="AN11" s="14">
        <v>0</v>
      </c>
      <c r="AO11" s="14">
        <v>0</v>
      </c>
      <c r="AP11" s="14">
        <v>0</v>
      </c>
      <c r="AQ11" s="28">
        <f t="shared" si="2"/>
        <v>4</v>
      </c>
      <c r="AR11" s="14" t="s">
        <v>161</v>
      </c>
      <c r="AS11" s="14" t="s">
        <v>162</v>
      </c>
      <c r="AT11" s="14" t="s">
        <v>164</v>
      </c>
      <c r="AU11" s="14" t="s">
        <v>165</v>
      </c>
      <c r="AV11" s="14" t="s">
        <v>163</v>
      </c>
      <c r="AW11" s="14" t="s">
        <v>168</v>
      </c>
      <c r="AX11" s="14" t="s">
        <v>166</v>
      </c>
      <c r="AY11" s="14" t="s">
        <v>167</v>
      </c>
      <c r="AZ11" s="40">
        <f t="shared" si="3"/>
        <v>4</v>
      </c>
      <c r="BA11" s="14" t="s">
        <v>161</v>
      </c>
      <c r="BB11" s="14">
        <v>28.226</v>
      </c>
      <c r="BC11" s="14">
        <v>33.318</v>
      </c>
      <c r="BD11" s="14">
        <v>224.425</v>
      </c>
      <c r="BE11" s="14">
        <v>11.633</v>
      </c>
      <c r="BF11" s="14">
        <v>6454.683</v>
      </c>
      <c r="BG11" s="14">
        <v>28.897</v>
      </c>
      <c r="BH11" s="14">
        <v>150.603</v>
      </c>
      <c r="BI11" s="28">
        <f t="shared" si="4"/>
        <v>4</v>
      </c>
      <c r="BJ11" s="14" t="s">
        <v>161</v>
      </c>
      <c r="BK11" s="14">
        <v>0.000415</v>
      </c>
      <c r="BL11" s="14">
        <v>1.3e-5</v>
      </c>
      <c r="BM11" s="14">
        <v>0</v>
      </c>
      <c r="BN11" s="14">
        <v>0.999482</v>
      </c>
      <c r="BO11" s="14">
        <v>0</v>
      </c>
      <c r="BP11" s="14">
        <v>8.9e-5</v>
      </c>
      <c r="BQ11" s="14">
        <v>0</v>
      </c>
      <c r="BR11" s="28">
        <f t="shared" si="5"/>
        <v>4</v>
      </c>
      <c r="BS11" s="28">
        <f t="shared" si="6"/>
        <v>0</v>
      </c>
      <c r="BT11" s="28">
        <f t="shared" si="7"/>
        <v>0</v>
      </c>
      <c r="BU11" s="28">
        <f t="shared" si="8"/>
        <v>1</v>
      </c>
      <c r="BV11" s="28">
        <f t="shared" si="9"/>
        <v>1</v>
      </c>
      <c r="BW11" s="14">
        <v>6</v>
      </c>
      <c r="BX11" s="15">
        <v>4</v>
      </c>
    </row>
    <row r="12" spans="1:76">
      <c r="A12" s="36" t="s">
        <v>20</v>
      </c>
      <c r="B12" s="37">
        <v>0.555672111286577</v>
      </c>
      <c r="C12" s="37">
        <v>0.364530062915215</v>
      </c>
      <c r="D12" s="37">
        <v>-0.857082473532352</v>
      </c>
      <c r="E12" s="37">
        <v>-0.881493799637047</v>
      </c>
      <c r="F12" s="37">
        <v>0.725453663771521</v>
      </c>
      <c r="G12" s="37">
        <v>2.14940934675585</v>
      </c>
      <c r="H12" s="37">
        <v>3.98639947851197</v>
      </c>
      <c r="I12" s="37">
        <v>-0.376551772524593</v>
      </c>
      <c r="J12" s="37">
        <v>-0.322148438593781</v>
      </c>
      <c r="K12" s="7">
        <v>5</v>
      </c>
      <c r="L12" s="7">
        <v>1</v>
      </c>
      <c r="M12" s="7">
        <v>2</v>
      </c>
      <c r="N12" s="7">
        <v>6</v>
      </c>
      <c r="O12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23.2364705616269</v>
      </c>
      <c r="P12" s="39"/>
      <c r="Q12" s="3" t="s">
        <v>161</v>
      </c>
      <c r="R12" s="3" t="s">
        <v>165</v>
      </c>
      <c r="S12" s="3" t="s">
        <v>164</v>
      </c>
      <c r="T12" s="3" t="s">
        <v>166</v>
      </c>
      <c r="U12" s="3" t="s">
        <v>163</v>
      </c>
      <c r="V12" s="3" t="s">
        <v>168</v>
      </c>
      <c r="W12" s="3" t="s">
        <v>162</v>
      </c>
      <c r="X12" s="3" t="s">
        <v>167</v>
      </c>
      <c r="Y12" s="40">
        <f t="shared" si="0"/>
        <v>6</v>
      </c>
      <c r="Z12" s="14" t="s">
        <v>161</v>
      </c>
      <c r="AA12" s="14">
        <v>122.612</v>
      </c>
      <c r="AB12" s="14">
        <v>105.199</v>
      </c>
      <c r="AC12" s="14">
        <v>362.341</v>
      </c>
      <c r="AD12" s="14">
        <v>108.462</v>
      </c>
      <c r="AE12" s="14">
        <v>5877.087</v>
      </c>
      <c r="AF12" s="14">
        <v>78.949</v>
      </c>
      <c r="AG12" s="14">
        <v>208.072</v>
      </c>
      <c r="AH12" s="28">
        <f t="shared" si="1"/>
        <v>6</v>
      </c>
      <c r="AI12" s="14" t="s">
        <v>161</v>
      </c>
      <c r="AJ12" s="14">
        <v>0</v>
      </c>
      <c r="AK12" s="14">
        <v>3e-6</v>
      </c>
      <c r="AL12" s="14">
        <v>0</v>
      </c>
      <c r="AM12" s="14">
        <v>1e-6</v>
      </c>
      <c r="AN12" s="14">
        <v>0</v>
      </c>
      <c r="AO12" s="14">
        <v>0.999997</v>
      </c>
      <c r="AP12" s="14">
        <v>0</v>
      </c>
      <c r="AQ12" s="28">
        <f t="shared" si="2"/>
        <v>6</v>
      </c>
      <c r="AR12" s="14" t="s">
        <v>161</v>
      </c>
      <c r="AS12" s="14" t="s">
        <v>165</v>
      </c>
      <c r="AT12" s="14" t="s">
        <v>166</v>
      </c>
      <c r="AU12" s="14" t="s">
        <v>164</v>
      </c>
      <c r="AV12" s="14" t="s">
        <v>163</v>
      </c>
      <c r="AW12" s="14" t="s">
        <v>162</v>
      </c>
      <c r="AX12" s="14" t="s">
        <v>168</v>
      </c>
      <c r="AY12" s="14" t="s">
        <v>167</v>
      </c>
      <c r="AZ12" s="40">
        <f t="shared" si="3"/>
        <v>6</v>
      </c>
      <c r="BA12" s="14" t="s">
        <v>161</v>
      </c>
      <c r="BB12" s="14">
        <v>272.647</v>
      </c>
      <c r="BC12" s="14">
        <v>331.577</v>
      </c>
      <c r="BD12" s="14">
        <v>265.49</v>
      </c>
      <c r="BE12" s="14">
        <v>343.748</v>
      </c>
      <c r="BF12" s="14">
        <v>5908.672</v>
      </c>
      <c r="BG12" s="14">
        <v>205.246</v>
      </c>
      <c r="BH12" s="14">
        <v>348.057</v>
      </c>
      <c r="BI12" s="28">
        <f t="shared" si="4"/>
        <v>6</v>
      </c>
      <c r="BJ12" s="14" t="s">
        <v>161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1</v>
      </c>
      <c r="BQ12" s="14">
        <v>0</v>
      </c>
      <c r="BR12" s="28">
        <f t="shared" si="5"/>
        <v>6</v>
      </c>
      <c r="BS12" s="28">
        <f t="shared" si="6"/>
        <v>0</v>
      </c>
      <c r="BT12" s="28">
        <f t="shared" si="7"/>
        <v>0</v>
      </c>
      <c r="BU12" s="28">
        <f t="shared" si="8"/>
        <v>1</v>
      </c>
      <c r="BV12" s="28">
        <f t="shared" si="9"/>
        <v>1</v>
      </c>
      <c r="BW12" s="14">
        <v>5</v>
      </c>
      <c r="BX12" s="15">
        <v>5</v>
      </c>
    </row>
    <row r="13" spans="1:76">
      <c r="A13" s="34" t="s">
        <v>21</v>
      </c>
      <c r="B13" s="35">
        <v>1.3061207999238</v>
      </c>
      <c r="C13" s="35">
        <v>-0.268908175811963</v>
      </c>
      <c r="D13" s="35">
        <v>-0.697701232694947</v>
      </c>
      <c r="E13" s="35">
        <v>0.252858779178754</v>
      </c>
      <c r="F13" s="35">
        <v>5.5028103077881</v>
      </c>
      <c r="G13" s="35">
        <v>-1.78070905495237</v>
      </c>
      <c r="H13" s="35">
        <v>-0.387983648392435</v>
      </c>
      <c r="I13" s="35">
        <v>0.651572519045081</v>
      </c>
      <c r="J13" s="35">
        <v>0.91380691923409</v>
      </c>
      <c r="K13" s="6">
        <v>6</v>
      </c>
      <c r="L13" s="6">
        <v>2</v>
      </c>
      <c r="M13" s="6">
        <v>1</v>
      </c>
      <c r="N13" s="6">
        <v>7</v>
      </c>
      <c r="O13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37.190954889847</v>
      </c>
      <c r="P13" s="39"/>
      <c r="Q13" s="3" t="s">
        <v>161</v>
      </c>
      <c r="R13" s="3" t="s">
        <v>168</v>
      </c>
      <c r="S13" s="3" t="s">
        <v>164</v>
      </c>
      <c r="T13" s="3" t="s">
        <v>163</v>
      </c>
      <c r="U13" s="3" t="s">
        <v>166</v>
      </c>
      <c r="V13" s="3" t="s">
        <v>162</v>
      </c>
      <c r="W13" s="3" t="s">
        <v>167</v>
      </c>
      <c r="X13" s="3" t="s">
        <v>165</v>
      </c>
      <c r="Y13" s="40">
        <f t="shared" si="0"/>
        <v>7</v>
      </c>
      <c r="Z13" s="14" t="s">
        <v>168</v>
      </c>
      <c r="AA13" s="14">
        <v>82.887</v>
      </c>
      <c r="AB13" s="14">
        <v>102.629</v>
      </c>
      <c r="AC13" s="14">
        <v>214.893</v>
      </c>
      <c r="AD13" s="14">
        <v>138.008</v>
      </c>
      <c r="AE13" s="14">
        <v>6431.095</v>
      </c>
      <c r="AF13" s="14">
        <v>161.722</v>
      </c>
      <c r="AG13" s="14">
        <v>8.333</v>
      </c>
      <c r="AH13" s="28">
        <f t="shared" si="1"/>
        <v>7</v>
      </c>
      <c r="AI13" s="14" t="s">
        <v>168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1</v>
      </c>
      <c r="AQ13" s="28">
        <f t="shared" si="2"/>
        <v>7</v>
      </c>
      <c r="AR13" s="14" t="s">
        <v>161</v>
      </c>
      <c r="AS13" s="14" t="s">
        <v>168</v>
      </c>
      <c r="AT13" s="14" t="s">
        <v>164</v>
      </c>
      <c r="AU13" s="14" t="s">
        <v>163</v>
      </c>
      <c r="AV13" s="14" t="s">
        <v>166</v>
      </c>
      <c r="AW13" s="14" t="s">
        <v>162</v>
      </c>
      <c r="AX13" s="14" t="s">
        <v>167</v>
      </c>
      <c r="AY13" s="14" t="s">
        <v>165</v>
      </c>
      <c r="AZ13" s="40">
        <f t="shared" si="3"/>
        <v>7</v>
      </c>
      <c r="BA13" s="14" t="s">
        <v>161</v>
      </c>
      <c r="BB13" s="14">
        <v>354.147</v>
      </c>
      <c r="BC13" s="14">
        <v>388.608</v>
      </c>
      <c r="BD13" s="14">
        <v>298.853</v>
      </c>
      <c r="BE13" s="14">
        <v>373.18</v>
      </c>
      <c r="BF13" s="14">
        <v>4982.816</v>
      </c>
      <c r="BG13" s="14">
        <v>460.221</v>
      </c>
      <c r="BH13" s="14">
        <v>140.359</v>
      </c>
      <c r="BI13" s="28">
        <f t="shared" si="4"/>
        <v>7</v>
      </c>
      <c r="BJ13" s="14" t="s">
        <v>161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0</v>
      </c>
      <c r="BQ13" s="14">
        <v>1</v>
      </c>
      <c r="BR13" s="28">
        <f t="shared" si="5"/>
        <v>7</v>
      </c>
      <c r="BS13" s="28">
        <f t="shared" si="6"/>
        <v>0</v>
      </c>
      <c r="BT13" s="28">
        <f t="shared" si="7"/>
        <v>0</v>
      </c>
      <c r="BU13" s="28">
        <f t="shared" si="8"/>
        <v>1</v>
      </c>
      <c r="BV13" s="28">
        <f t="shared" si="9"/>
        <v>1</v>
      </c>
      <c r="BW13" s="14">
        <v>5</v>
      </c>
      <c r="BX13" s="15">
        <v>5</v>
      </c>
    </row>
    <row r="14" spans="1:76">
      <c r="A14" s="36" t="s">
        <v>22</v>
      </c>
      <c r="B14" s="37">
        <v>1.04265292883287</v>
      </c>
      <c r="C14" s="37">
        <v>-0.49740085931366</v>
      </c>
      <c r="D14" s="37">
        <v>-0.229720951627436</v>
      </c>
      <c r="E14" s="37">
        <v>1.26780582338236</v>
      </c>
      <c r="F14" s="37">
        <v>1.94705411345991</v>
      </c>
      <c r="G14" s="37">
        <v>-1.04539657979406</v>
      </c>
      <c r="H14" s="37">
        <v>-0.371047303946721</v>
      </c>
      <c r="I14" s="37">
        <v>-0.170858876472501</v>
      </c>
      <c r="J14" s="37">
        <v>-0.560271140150493</v>
      </c>
      <c r="K14" s="7">
        <v>6</v>
      </c>
      <c r="L14" s="7">
        <v>7</v>
      </c>
      <c r="M14" s="7">
        <v>1</v>
      </c>
      <c r="N14" s="7">
        <v>7</v>
      </c>
      <c r="O14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8.35928240397591</v>
      </c>
      <c r="P14" s="39">
        <v>7</v>
      </c>
      <c r="Q14" s="3" t="s">
        <v>168</v>
      </c>
      <c r="R14" s="3" t="s">
        <v>168</v>
      </c>
      <c r="S14" s="3" t="s">
        <v>164</v>
      </c>
      <c r="T14" s="3" t="s">
        <v>163</v>
      </c>
      <c r="U14" s="3" t="s">
        <v>162</v>
      </c>
      <c r="V14" s="3" t="s">
        <v>165</v>
      </c>
      <c r="W14" s="3" t="s">
        <v>166</v>
      </c>
      <c r="X14" s="3" t="s">
        <v>167</v>
      </c>
      <c r="Y14" s="40">
        <f t="shared" si="0"/>
        <v>7</v>
      </c>
      <c r="Z14" s="14" t="s">
        <v>168</v>
      </c>
      <c r="AA14" s="14">
        <v>103.639</v>
      </c>
      <c r="AB14" s="14">
        <v>114.513</v>
      </c>
      <c r="AC14" s="14">
        <v>183.747</v>
      </c>
      <c r="AD14" s="14">
        <v>148.368</v>
      </c>
      <c r="AE14" s="14">
        <v>6128.574</v>
      </c>
      <c r="AF14" s="14">
        <v>153.32</v>
      </c>
      <c r="AG14" s="14">
        <v>8.333</v>
      </c>
      <c r="AH14" s="28">
        <f t="shared" si="1"/>
        <v>7</v>
      </c>
      <c r="AI14" s="14" t="s">
        <v>168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1</v>
      </c>
      <c r="AQ14" s="28">
        <f t="shared" si="2"/>
        <v>7</v>
      </c>
      <c r="AR14" s="14" t="s">
        <v>168</v>
      </c>
      <c r="AS14" s="14" t="s">
        <v>168</v>
      </c>
      <c r="AT14" s="14" t="s">
        <v>164</v>
      </c>
      <c r="AU14" s="14" t="s">
        <v>163</v>
      </c>
      <c r="AV14" s="14" t="s">
        <v>166</v>
      </c>
      <c r="AW14" s="14" t="s">
        <v>162</v>
      </c>
      <c r="AX14" s="14" t="s">
        <v>165</v>
      </c>
      <c r="AY14" s="14" t="s">
        <v>167</v>
      </c>
      <c r="AZ14" s="40">
        <f t="shared" si="3"/>
        <v>7</v>
      </c>
      <c r="BA14" s="14" t="s">
        <v>168</v>
      </c>
      <c r="BB14" s="14">
        <v>92.615</v>
      </c>
      <c r="BC14" s="14">
        <v>106.323</v>
      </c>
      <c r="BD14" s="14">
        <v>112.913</v>
      </c>
      <c r="BE14" s="14">
        <v>140.713</v>
      </c>
      <c r="BF14" s="14">
        <v>6064.012</v>
      </c>
      <c r="BG14" s="14">
        <v>147.239</v>
      </c>
      <c r="BH14" s="14">
        <v>6.458</v>
      </c>
      <c r="BI14" s="28">
        <f t="shared" si="4"/>
        <v>7</v>
      </c>
      <c r="BJ14" s="14" t="s">
        <v>168</v>
      </c>
      <c r="BK14" s="14">
        <v>0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  <c r="BQ14" s="14">
        <v>1</v>
      </c>
      <c r="BR14" s="28">
        <f t="shared" si="5"/>
        <v>7</v>
      </c>
      <c r="BS14" s="28">
        <f t="shared" si="6"/>
        <v>1</v>
      </c>
      <c r="BT14" s="28">
        <f t="shared" si="7"/>
        <v>1</v>
      </c>
      <c r="BU14" s="28">
        <f t="shared" si="8"/>
        <v>1</v>
      </c>
      <c r="BV14" s="28">
        <f t="shared" si="9"/>
        <v>1</v>
      </c>
      <c r="BW14" s="14">
        <v>6</v>
      </c>
      <c r="BX14" s="15">
        <v>4</v>
      </c>
    </row>
    <row r="15" spans="1:76">
      <c r="A15" s="34" t="s">
        <v>23</v>
      </c>
      <c r="B15" s="35">
        <v>-0.122755920820896</v>
      </c>
      <c r="C15" s="35">
        <v>-0.361270225854881</v>
      </c>
      <c r="D15" s="35">
        <v>0.681754956118072</v>
      </c>
      <c r="E15" s="35">
        <v>-0.463574428494383</v>
      </c>
      <c r="F15" s="35">
        <v>-0.79823133620169</v>
      </c>
      <c r="G15" s="35">
        <v>-0.48334738901213</v>
      </c>
      <c r="H15" s="35">
        <v>-0.230521418951205</v>
      </c>
      <c r="I15" s="35">
        <v>-0.178056650998342</v>
      </c>
      <c r="J15" s="35">
        <v>-0.0587681753233314</v>
      </c>
      <c r="K15" s="6">
        <v>3</v>
      </c>
      <c r="L15" s="6">
        <v>7</v>
      </c>
      <c r="M15" s="6">
        <v>5</v>
      </c>
      <c r="N15" s="6">
        <v>2</v>
      </c>
      <c r="O15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1.78437222168128</v>
      </c>
      <c r="P15" s="39">
        <v>2</v>
      </c>
      <c r="Q15" s="3" t="s">
        <v>163</v>
      </c>
      <c r="R15" s="3" t="s">
        <v>163</v>
      </c>
      <c r="S15" s="3" t="s">
        <v>162</v>
      </c>
      <c r="T15" s="3" t="s">
        <v>164</v>
      </c>
      <c r="U15" s="3" t="s">
        <v>165</v>
      </c>
      <c r="V15" s="3" t="s">
        <v>168</v>
      </c>
      <c r="W15" s="3" t="s">
        <v>166</v>
      </c>
      <c r="X15" s="3" t="s">
        <v>167</v>
      </c>
      <c r="Y15" s="40">
        <f t="shared" si="0"/>
        <v>2</v>
      </c>
      <c r="Z15" s="14" t="s">
        <v>161</v>
      </c>
      <c r="AA15" s="14">
        <v>18.921</v>
      </c>
      <c r="AB15" s="14">
        <v>17</v>
      </c>
      <c r="AC15" s="14">
        <v>290.308</v>
      </c>
      <c r="AD15" s="14">
        <v>24.028</v>
      </c>
      <c r="AE15" s="14">
        <v>6833.475</v>
      </c>
      <c r="AF15" s="14">
        <v>83.615</v>
      </c>
      <c r="AG15" s="14">
        <v>95.183</v>
      </c>
      <c r="AH15" s="28">
        <f t="shared" si="1"/>
        <v>2</v>
      </c>
      <c r="AI15" s="14" t="s">
        <v>161</v>
      </c>
      <c r="AJ15" s="14">
        <v>0.478054</v>
      </c>
      <c r="AK15" s="14">
        <v>0.499623</v>
      </c>
      <c r="AL15" s="14">
        <v>0</v>
      </c>
      <c r="AM15" s="14">
        <v>0.022323</v>
      </c>
      <c r="AN15" s="14">
        <v>0</v>
      </c>
      <c r="AO15" s="14">
        <v>0</v>
      </c>
      <c r="AP15" s="14">
        <v>0</v>
      </c>
      <c r="AQ15" s="28">
        <f t="shared" si="2"/>
        <v>2</v>
      </c>
      <c r="AR15" s="14" t="s">
        <v>163</v>
      </c>
      <c r="AS15" s="14" t="s">
        <v>163</v>
      </c>
      <c r="AT15" s="14" t="s">
        <v>162</v>
      </c>
      <c r="AU15" s="14" t="s">
        <v>164</v>
      </c>
      <c r="AV15" s="14" t="s">
        <v>165</v>
      </c>
      <c r="AW15" s="14" t="s">
        <v>168</v>
      </c>
      <c r="AX15" s="14" t="s">
        <v>166</v>
      </c>
      <c r="AY15" s="14" t="s">
        <v>167</v>
      </c>
      <c r="AZ15" s="40">
        <f t="shared" si="3"/>
        <v>2</v>
      </c>
      <c r="BA15" s="14" t="s">
        <v>163</v>
      </c>
      <c r="BB15" s="14">
        <v>16.587</v>
      </c>
      <c r="BC15" s="14">
        <v>2.725</v>
      </c>
      <c r="BD15" s="14">
        <v>240.075</v>
      </c>
      <c r="BE15" s="14">
        <v>11.954</v>
      </c>
      <c r="BF15" s="14">
        <v>6654.302</v>
      </c>
      <c r="BG15" s="14">
        <v>34.481</v>
      </c>
      <c r="BH15" s="14">
        <v>125.672</v>
      </c>
      <c r="BI15" s="28">
        <f t="shared" si="4"/>
        <v>2</v>
      </c>
      <c r="BJ15" s="14" t="s">
        <v>163</v>
      </c>
      <c r="BK15" s="14">
        <v>0.0024</v>
      </c>
      <c r="BL15" s="14">
        <v>0.982995</v>
      </c>
      <c r="BM15" s="14">
        <v>0</v>
      </c>
      <c r="BN15" s="14">
        <v>0.014605</v>
      </c>
      <c r="BO15" s="14">
        <v>0</v>
      </c>
      <c r="BP15" s="14">
        <v>0</v>
      </c>
      <c r="BQ15" s="14">
        <v>0</v>
      </c>
      <c r="BR15" s="28">
        <f t="shared" si="5"/>
        <v>2</v>
      </c>
      <c r="BS15" s="28">
        <f t="shared" si="6"/>
        <v>1</v>
      </c>
      <c r="BT15" s="28">
        <f t="shared" si="7"/>
        <v>1</v>
      </c>
      <c r="BU15" s="28">
        <f t="shared" si="8"/>
        <v>1</v>
      </c>
      <c r="BV15" s="28">
        <f t="shared" si="9"/>
        <v>1</v>
      </c>
      <c r="BW15" s="14">
        <v>1</v>
      </c>
      <c r="BX15" s="15">
        <v>1</v>
      </c>
    </row>
    <row r="16" spans="1:76">
      <c r="A16" s="36" t="s">
        <v>24</v>
      </c>
      <c r="B16" s="37">
        <v>0.68677244854609</v>
      </c>
      <c r="C16" s="37">
        <v>0.0626302277003033</v>
      </c>
      <c r="D16" s="37">
        <v>0.730262290285978</v>
      </c>
      <c r="E16" s="37">
        <v>0.0438990936074222</v>
      </c>
      <c r="F16" s="37">
        <v>-0.611086273342311</v>
      </c>
      <c r="G16" s="37">
        <v>-0.470669587716298</v>
      </c>
      <c r="H16" s="37">
        <v>-0.485482063715057</v>
      </c>
      <c r="I16" s="37">
        <v>-0.310959777398604</v>
      </c>
      <c r="J16" s="37">
        <v>-0.661422727231847</v>
      </c>
      <c r="K16" s="7">
        <v>3</v>
      </c>
      <c r="L16" s="7">
        <v>7</v>
      </c>
      <c r="M16" s="7">
        <v>5</v>
      </c>
      <c r="N16" s="7">
        <v>2</v>
      </c>
      <c r="O16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2.3756142202531</v>
      </c>
      <c r="P16" s="39">
        <v>2</v>
      </c>
      <c r="Q16" s="3" t="s">
        <v>163</v>
      </c>
      <c r="R16" s="3" t="s">
        <v>163</v>
      </c>
      <c r="S16" s="3" t="s">
        <v>164</v>
      </c>
      <c r="T16" s="3" t="s">
        <v>162</v>
      </c>
      <c r="U16" s="3" t="s">
        <v>165</v>
      </c>
      <c r="V16" s="3" t="s">
        <v>168</v>
      </c>
      <c r="W16" s="3" t="s">
        <v>166</v>
      </c>
      <c r="X16" s="3" t="s">
        <v>167</v>
      </c>
      <c r="Y16" s="40">
        <f t="shared" si="0"/>
        <v>2</v>
      </c>
      <c r="Z16" s="14" t="s">
        <v>161</v>
      </c>
      <c r="AA16" s="14">
        <v>14.433</v>
      </c>
      <c r="AB16" s="14">
        <v>25.343</v>
      </c>
      <c r="AC16" s="14">
        <v>189.414</v>
      </c>
      <c r="AD16" s="14">
        <v>55.663</v>
      </c>
      <c r="AE16" s="14">
        <v>6571.431</v>
      </c>
      <c r="AF16" s="14">
        <v>90.432</v>
      </c>
      <c r="AG16" s="14">
        <v>60.933</v>
      </c>
      <c r="AH16" s="28">
        <f t="shared" si="1"/>
        <v>1</v>
      </c>
      <c r="AI16" s="14" t="s">
        <v>161</v>
      </c>
      <c r="AJ16" s="14">
        <v>0.998294</v>
      </c>
      <c r="AK16" s="14">
        <v>0.001706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28">
        <f t="shared" si="2"/>
        <v>1</v>
      </c>
      <c r="AR16" s="14" t="s">
        <v>163</v>
      </c>
      <c r="AS16" s="14" t="s">
        <v>163</v>
      </c>
      <c r="AT16" s="14" t="s">
        <v>164</v>
      </c>
      <c r="AU16" s="14" t="s">
        <v>162</v>
      </c>
      <c r="AV16" s="14" t="s">
        <v>165</v>
      </c>
      <c r="AW16" s="14" t="s">
        <v>168</v>
      </c>
      <c r="AX16" s="14" t="s">
        <v>166</v>
      </c>
      <c r="AY16" s="14" t="s">
        <v>167</v>
      </c>
      <c r="AZ16" s="40">
        <f t="shared" si="3"/>
        <v>2</v>
      </c>
      <c r="BA16" s="14" t="s">
        <v>163</v>
      </c>
      <c r="BB16" s="14">
        <v>13.005</v>
      </c>
      <c r="BC16" s="14">
        <v>3.459</v>
      </c>
      <c r="BD16" s="14">
        <v>204.323</v>
      </c>
      <c r="BE16" s="14">
        <v>32.479</v>
      </c>
      <c r="BF16" s="14">
        <v>6783.369</v>
      </c>
      <c r="BG16" s="14">
        <v>43.09</v>
      </c>
      <c r="BH16" s="14">
        <v>91.793</v>
      </c>
      <c r="BI16" s="28">
        <f t="shared" si="4"/>
        <v>2</v>
      </c>
      <c r="BJ16" s="14" t="s">
        <v>163</v>
      </c>
      <c r="BK16" s="14">
        <v>0.020699</v>
      </c>
      <c r="BL16" s="14">
        <v>0.9793</v>
      </c>
      <c r="BM16" s="14">
        <v>0</v>
      </c>
      <c r="BN16" s="14">
        <v>1e-6</v>
      </c>
      <c r="BO16" s="14">
        <v>0</v>
      </c>
      <c r="BP16" s="14">
        <v>0</v>
      </c>
      <c r="BQ16" s="14">
        <v>0</v>
      </c>
      <c r="BR16" s="28">
        <f t="shared" si="5"/>
        <v>2</v>
      </c>
      <c r="BS16" s="28">
        <f t="shared" si="6"/>
        <v>1</v>
      </c>
      <c r="BT16" s="28">
        <f t="shared" si="7"/>
        <v>1</v>
      </c>
      <c r="BU16" s="28">
        <f t="shared" si="8"/>
        <v>1</v>
      </c>
      <c r="BV16" s="28">
        <f t="shared" si="9"/>
        <v>1</v>
      </c>
      <c r="BW16" s="14">
        <v>1</v>
      </c>
      <c r="BX16" s="15">
        <v>1</v>
      </c>
    </row>
    <row r="17" spans="1:76">
      <c r="A17" s="34" t="s">
        <v>25</v>
      </c>
      <c r="B17" s="35">
        <v>-1.5166627712096</v>
      </c>
      <c r="C17" s="35">
        <v>-1.44755821740443</v>
      </c>
      <c r="D17" s="35">
        <v>-2.04620512256273</v>
      </c>
      <c r="E17" s="35">
        <v>1.35735997434151</v>
      </c>
      <c r="F17" s="35">
        <v>-0.297213057680518</v>
      </c>
      <c r="G17" s="35">
        <v>1.12250744179338</v>
      </c>
      <c r="H17" s="35">
        <v>-0.341408701166722</v>
      </c>
      <c r="I17" s="35">
        <v>-0.182377872416607</v>
      </c>
      <c r="J17" s="35">
        <v>-0.20218106701373</v>
      </c>
      <c r="K17" s="6">
        <v>2</v>
      </c>
      <c r="L17" s="6">
        <v>7</v>
      </c>
      <c r="M17" s="6">
        <v>7</v>
      </c>
      <c r="N17" s="6">
        <v>3</v>
      </c>
      <c r="O17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11.9641295898703</v>
      </c>
      <c r="P17" s="39"/>
      <c r="Q17" s="3" t="s">
        <v>161</v>
      </c>
      <c r="R17" s="3" t="s">
        <v>166</v>
      </c>
      <c r="S17" s="3" t="s">
        <v>164</v>
      </c>
      <c r="T17" s="3" t="s">
        <v>168</v>
      </c>
      <c r="U17" s="3" t="s">
        <v>163</v>
      </c>
      <c r="V17" s="3" t="s">
        <v>162</v>
      </c>
      <c r="W17" s="3" t="s">
        <v>167</v>
      </c>
      <c r="X17" s="3" t="s">
        <v>165</v>
      </c>
      <c r="Y17" s="40">
        <f t="shared" si="0"/>
        <v>3</v>
      </c>
      <c r="Z17" s="14" t="s">
        <v>166</v>
      </c>
      <c r="AA17" s="14">
        <v>196.916</v>
      </c>
      <c r="AB17" s="14">
        <v>245.254</v>
      </c>
      <c r="AC17" s="14">
        <v>7.521</v>
      </c>
      <c r="AD17" s="14">
        <v>294.121</v>
      </c>
      <c r="AE17" s="14">
        <v>5674.577</v>
      </c>
      <c r="AF17" s="14">
        <v>303.189</v>
      </c>
      <c r="AG17" s="14">
        <v>184.105</v>
      </c>
      <c r="AH17" s="28">
        <f t="shared" si="1"/>
        <v>3</v>
      </c>
      <c r="AI17" s="14" t="s">
        <v>166</v>
      </c>
      <c r="AJ17" s="14">
        <v>0</v>
      </c>
      <c r="AK17" s="14">
        <v>0</v>
      </c>
      <c r="AL17" s="14">
        <v>1</v>
      </c>
      <c r="AM17" s="14">
        <v>0</v>
      </c>
      <c r="AN17" s="14">
        <v>0</v>
      </c>
      <c r="AO17" s="14">
        <v>0</v>
      </c>
      <c r="AP17" s="14">
        <v>0</v>
      </c>
      <c r="AQ17" s="28">
        <f t="shared" si="2"/>
        <v>3</v>
      </c>
      <c r="AR17" s="14" t="s">
        <v>161</v>
      </c>
      <c r="AS17" s="14" t="s">
        <v>166</v>
      </c>
      <c r="AT17" s="14" t="s">
        <v>168</v>
      </c>
      <c r="AU17" s="14" t="s">
        <v>164</v>
      </c>
      <c r="AV17" s="14" t="s">
        <v>163</v>
      </c>
      <c r="AW17" s="14" t="s">
        <v>162</v>
      </c>
      <c r="AX17" s="14" t="s">
        <v>167</v>
      </c>
      <c r="AY17" s="14" t="s">
        <v>165</v>
      </c>
      <c r="AZ17" s="40">
        <f t="shared" si="3"/>
        <v>3</v>
      </c>
      <c r="BA17" s="14" t="s">
        <v>161</v>
      </c>
      <c r="BB17" s="14">
        <v>122.542</v>
      </c>
      <c r="BC17" s="14">
        <v>168.884</v>
      </c>
      <c r="BD17" s="14">
        <v>15.16</v>
      </c>
      <c r="BE17" s="14">
        <v>170.906</v>
      </c>
      <c r="BF17" s="14">
        <v>5379.111</v>
      </c>
      <c r="BG17" s="14">
        <v>170.478</v>
      </c>
      <c r="BH17" s="14">
        <v>114.743</v>
      </c>
      <c r="BI17" s="28">
        <f t="shared" si="4"/>
        <v>3</v>
      </c>
      <c r="BJ17" s="14" t="s">
        <v>161</v>
      </c>
      <c r="BK17" s="14">
        <v>0</v>
      </c>
      <c r="BL17" s="14">
        <v>0</v>
      </c>
      <c r="BM17" s="14">
        <v>1</v>
      </c>
      <c r="BN17" s="14">
        <v>0</v>
      </c>
      <c r="BO17" s="14">
        <v>0</v>
      </c>
      <c r="BP17" s="14">
        <v>0</v>
      </c>
      <c r="BQ17" s="14">
        <v>0</v>
      </c>
      <c r="BR17" s="28">
        <f t="shared" si="5"/>
        <v>3</v>
      </c>
      <c r="BS17" s="28">
        <f t="shared" si="6"/>
        <v>0</v>
      </c>
      <c r="BT17" s="28">
        <f t="shared" si="7"/>
        <v>0</v>
      </c>
      <c r="BU17" s="28">
        <f t="shared" si="8"/>
        <v>1</v>
      </c>
      <c r="BV17" s="28">
        <f t="shared" si="9"/>
        <v>1</v>
      </c>
      <c r="BW17" s="14">
        <v>7</v>
      </c>
      <c r="BX17" s="15">
        <v>3</v>
      </c>
    </row>
    <row r="18" spans="1:76">
      <c r="A18" s="36" t="s">
        <v>26</v>
      </c>
      <c r="B18" s="37">
        <v>1.52772605785277</v>
      </c>
      <c r="C18" s="37">
        <v>-0.376778779033729</v>
      </c>
      <c r="D18" s="37">
        <v>-0.531390372690699</v>
      </c>
      <c r="E18" s="37">
        <v>-0.61283134675962</v>
      </c>
      <c r="F18" s="37">
        <v>-0.532986365219893</v>
      </c>
      <c r="G18" s="37">
        <v>0.044894331647577</v>
      </c>
      <c r="H18" s="37">
        <v>-0.00691589836387631</v>
      </c>
      <c r="I18" s="37">
        <v>-0.192148459321555</v>
      </c>
      <c r="J18" s="37">
        <v>-0.3588933322967</v>
      </c>
      <c r="K18" s="7">
        <v>3</v>
      </c>
      <c r="L18" s="7">
        <v>7</v>
      </c>
      <c r="M18" s="7">
        <v>6</v>
      </c>
      <c r="N18" s="7">
        <v>1</v>
      </c>
      <c r="O18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3.58571039449334</v>
      </c>
      <c r="P18" s="39"/>
      <c r="Q18" s="3" t="s">
        <v>161</v>
      </c>
      <c r="R18" s="3" t="s">
        <v>164</v>
      </c>
      <c r="S18" s="3" t="s">
        <v>163</v>
      </c>
      <c r="T18" s="3" t="s">
        <v>165</v>
      </c>
      <c r="U18" s="3" t="s">
        <v>162</v>
      </c>
      <c r="V18" s="3" t="s">
        <v>168</v>
      </c>
      <c r="W18" s="3" t="s">
        <v>166</v>
      </c>
      <c r="X18" s="3" t="s">
        <v>167</v>
      </c>
      <c r="Y18" s="40">
        <f t="shared" si="0"/>
        <v>1</v>
      </c>
      <c r="Z18" s="14" t="s">
        <v>164</v>
      </c>
      <c r="AA18" s="14">
        <v>3.186</v>
      </c>
      <c r="AB18" s="14">
        <v>16.519</v>
      </c>
      <c r="AC18" s="14">
        <v>198.615</v>
      </c>
      <c r="AD18" s="14">
        <v>18.322</v>
      </c>
      <c r="AE18" s="14">
        <v>6533.062</v>
      </c>
      <c r="AF18" s="14">
        <v>58.984</v>
      </c>
      <c r="AG18" s="14">
        <v>92.065</v>
      </c>
      <c r="AH18" s="28">
        <f t="shared" si="1"/>
        <v>1</v>
      </c>
      <c r="AI18" s="14" t="s">
        <v>164</v>
      </c>
      <c r="AJ18" s="14">
        <v>0.999181</v>
      </c>
      <c r="AK18" s="14">
        <v>0.000509</v>
      </c>
      <c r="AL18" s="14">
        <v>0</v>
      </c>
      <c r="AM18" s="14">
        <v>0.00031</v>
      </c>
      <c r="AN18" s="14">
        <v>0</v>
      </c>
      <c r="AO18" s="14">
        <v>0</v>
      </c>
      <c r="AP18" s="14">
        <v>0</v>
      </c>
      <c r="AQ18" s="28">
        <f t="shared" si="2"/>
        <v>1</v>
      </c>
      <c r="AR18" s="14" t="s">
        <v>161</v>
      </c>
      <c r="AS18" s="14" t="s">
        <v>164</v>
      </c>
      <c r="AT18" s="14" t="s">
        <v>163</v>
      </c>
      <c r="AU18" s="14" t="s">
        <v>162</v>
      </c>
      <c r="AV18" s="14" t="s">
        <v>165</v>
      </c>
      <c r="AW18" s="14" t="s">
        <v>168</v>
      </c>
      <c r="AX18" s="14" t="s">
        <v>166</v>
      </c>
      <c r="AY18" s="14" t="s">
        <v>167</v>
      </c>
      <c r="AZ18" s="40">
        <f t="shared" si="3"/>
        <v>1</v>
      </c>
      <c r="BA18" s="14" t="s">
        <v>161</v>
      </c>
      <c r="BB18" s="14">
        <v>4.279</v>
      </c>
      <c r="BC18" s="14">
        <v>14.32</v>
      </c>
      <c r="BD18" s="14">
        <v>174.604</v>
      </c>
      <c r="BE18" s="14">
        <v>22.286</v>
      </c>
      <c r="BF18" s="14">
        <v>6578.659</v>
      </c>
      <c r="BG18" s="14">
        <v>23.757</v>
      </c>
      <c r="BH18" s="14">
        <v>108.07</v>
      </c>
      <c r="BI18" s="28">
        <f t="shared" si="4"/>
        <v>1</v>
      </c>
      <c r="BJ18" s="14" t="s">
        <v>161</v>
      </c>
      <c r="BK18" s="14">
        <v>0.997276</v>
      </c>
      <c r="BL18" s="14">
        <v>0.002633</v>
      </c>
      <c r="BM18" s="14">
        <v>0</v>
      </c>
      <c r="BN18" s="14">
        <v>7.4e-5</v>
      </c>
      <c r="BO18" s="14">
        <v>0</v>
      </c>
      <c r="BP18" s="14">
        <v>1.8e-5</v>
      </c>
      <c r="BQ18" s="14">
        <v>0</v>
      </c>
      <c r="BR18" s="28">
        <f t="shared" si="5"/>
        <v>1</v>
      </c>
      <c r="BS18" s="28">
        <f t="shared" si="6"/>
        <v>0</v>
      </c>
      <c r="BT18" s="28">
        <f t="shared" si="7"/>
        <v>0</v>
      </c>
      <c r="BU18" s="28">
        <f t="shared" si="8"/>
        <v>1</v>
      </c>
      <c r="BV18" s="28">
        <f t="shared" si="9"/>
        <v>1</v>
      </c>
      <c r="BW18" s="14">
        <v>6</v>
      </c>
      <c r="BX18" s="15">
        <v>5</v>
      </c>
    </row>
    <row r="19" spans="1:76">
      <c r="A19" s="34" t="s">
        <v>27</v>
      </c>
      <c r="B19" s="35">
        <v>-0.387160110020803</v>
      </c>
      <c r="C19" s="35">
        <v>-0.158625130984598</v>
      </c>
      <c r="D19" s="35">
        <v>0.648030809506099</v>
      </c>
      <c r="E19" s="35">
        <v>-0.433723044841336</v>
      </c>
      <c r="F19" s="35">
        <v>-0.547722196941104</v>
      </c>
      <c r="G19" s="35">
        <v>1.16054084568088</v>
      </c>
      <c r="H19" s="35">
        <v>-0.292888363024948</v>
      </c>
      <c r="I19" s="35">
        <v>-0.238451603783266</v>
      </c>
      <c r="J19" s="35">
        <v>-2.02905974691903</v>
      </c>
      <c r="K19" s="6">
        <v>5</v>
      </c>
      <c r="L19" s="6">
        <v>7</v>
      </c>
      <c r="M19" s="6">
        <v>5</v>
      </c>
      <c r="N19" s="6">
        <v>1</v>
      </c>
      <c r="O19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6.68969536929184</v>
      </c>
      <c r="P19" s="39"/>
      <c r="Q19" s="3" t="s">
        <v>161</v>
      </c>
      <c r="R19" s="3" t="s">
        <v>164</v>
      </c>
      <c r="S19" s="3" t="s">
        <v>163</v>
      </c>
      <c r="T19" s="3" t="s">
        <v>168</v>
      </c>
      <c r="U19" s="3" t="s">
        <v>162</v>
      </c>
      <c r="V19" s="3" t="s">
        <v>165</v>
      </c>
      <c r="W19" s="3" t="s">
        <v>166</v>
      </c>
      <c r="X19" s="3" t="s">
        <v>167</v>
      </c>
      <c r="Y19" s="40">
        <f t="shared" si="0"/>
        <v>1</v>
      </c>
      <c r="Z19" s="14" t="s">
        <v>161</v>
      </c>
      <c r="AA19" s="14">
        <v>30.331</v>
      </c>
      <c r="AB19" s="14">
        <v>28.236</v>
      </c>
      <c r="AC19" s="14">
        <v>227.143</v>
      </c>
      <c r="AD19" s="14">
        <v>46.911</v>
      </c>
      <c r="AE19" s="14">
        <v>6851.856</v>
      </c>
      <c r="AF19" s="14">
        <v>53.632</v>
      </c>
      <c r="AG19" s="14">
        <v>90.292</v>
      </c>
      <c r="AH19" s="28">
        <f t="shared" si="1"/>
        <v>2</v>
      </c>
      <c r="AI19" s="14" t="s">
        <v>161</v>
      </c>
      <c r="AJ19" s="14">
        <v>0.467256</v>
      </c>
      <c r="AK19" s="14">
        <v>0.532672</v>
      </c>
      <c r="AL19" s="14">
        <v>0</v>
      </c>
      <c r="AM19" s="14">
        <v>7e-5</v>
      </c>
      <c r="AN19" s="14">
        <v>0</v>
      </c>
      <c r="AO19" s="14">
        <v>1e-6</v>
      </c>
      <c r="AP19" s="14">
        <v>0</v>
      </c>
      <c r="AQ19" s="28">
        <f t="shared" si="2"/>
        <v>2</v>
      </c>
      <c r="AR19" s="14" t="s">
        <v>161</v>
      </c>
      <c r="AS19" s="14" t="s">
        <v>164</v>
      </c>
      <c r="AT19" s="14" t="s">
        <v>163</v>
      </c>
      <c r="AU19" s="14" t="s">
        <v>165</v>
      </c>
      <c r="AV19" s="14" t="s">
        <v>168</v>
      </c>
      <c r="AW19" s="14" t="s">
        <v>166</v>
      </c>
      <c r="AX19" s="14" t="s">
        <v>162</v>
      </c>
      <c r="AY19" s="14" t="s">
        <v>167</v>
      </c>
      <c r="AZ19" s="40">
        <f t="shared" si="3"/>
        <v>1</v>
      </c>
      <c r="BA19" s="14" t="s">
        <v>161</v>
      </c>
      <c r="BB19" s="14">
        <v>30.853</v>
      </c>
      <c r="BC19" s="14">
        <v>60.805</v>
      </c>
      <c r="BD19" s="14">
        <v>103.145</v>
      </c>
      <c r="BE19" s="14">
        <v>106.509</v>
      </c>
      <c r="BF19" s="14">
        <v>6405.765</v>
      </c>
      <c r="BG19" s="14">
        <v>90.565</v>
      </c>
      <c r="BH19" s="14">
        <v>100.052</v>
      </c>
      <c r="BI19" s="28">
        <f t="shared" si="4"/>
        <v>1</v>
      </c>
      <c r="BJ19" s="14" t="s">
        <v>161</v>
      </c>
      <c r="BK19" s="14">
        <v>1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0</v>
      </c>
      <c r="BR19" s="28">
        <f t="shared" si="5"/>
        <v>1</v>
      </c>
      <c r="BS19" s="28">
        <f t="shared" si="6"/>
        <v>0</v>
      </c>
      <c r="BT19" s="28">
        <f t="shared" si="7"/>
        <v>0</v>
      </c>
      <c r="BU19" s="28">
        <f t="shared" si="8"/>
        <v>1</v>
      </c>
      <c r="BV19" s="28">
        <f t="shared" si="9"/>
        <v>1</v>
      </c>
      <c r="BW19" s="14">
        <v>2</v>
      </c>
      <c r="BX19" s="15">
        <v>3</v>
      </c>
    </row>
    <row r="20" spans="1:76">
      <c r="A20" s="36" t="s">
        <v>28</v>
      </c>
      <c r="B20" s="37">
        <v>2.46923597045188</v>
      </c>
      <c r="C20" s="37">
        <v>2.64532128375116</v>
      </c>
      <c r="D20" s="37">
        <v>0.272907425274294</v>
      </c>
      <c r="E20" s="37">
        <v>-0.582979963106573</v>
      </c>
      <c r="F20" s="37">
        <v>1.6390752304866</v>
      </c>
      <c r="G20" s="37">
        <v>-1.58209016798432</v>
      </c>
      <c r="H20" s="37">
        <v>1.54996900828433</v>
      </c>
      <c r="I20" s="37">
        <v>0.491028534519705</v>
      </c>
      <c r="J20" s="37">
        <v>-0.147097847462379</v>
      </c>
      <c r="K20" s="7">
        <v>4</v>
      </c>
      <c r="L20" s="7">
        <v>6</v>
      </c>
      <c r="M20" s="7">
        <v>6</v>
      </c>
      <c r="N20" s="7">
        <v>6</v>
      </c>
      <c r="O20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21.3639227081037</v>
      </c>
      <c r="P20" s="39"/>
      <c r="Q20" s="3" t="s">
        <v>161</v>
      </c>
      <c r="R20" s="3" t="s">
        <v>165</v>
      </c>
      <c r="S20" s="3" t="s">
        <v>168</v>
      </c>
      <c r="T20" s="3" t="s">
        <v>162</v>
      </c>
      <c r="U20" s="3" t="s">
        <v>163</v>
      </c>
      <c r="V20" s="3" t="s">
        <v>164</v>
      </c>
      <c r="W20" s="3" t="s">
        <v>166</v>
      </c>
      <c r="X20" s="3" t="s">
        <v>167</v>
      </c>
      <c r="Y20" s="40">
        <f t="shared" si="0"/>
        <v>6</v>
      </c>
      <c r="Z20" s="14" t="s">
        <v>165</v>
      </c>
      <c r="AA20" s="14">
        <v>52.312</v>
      </c>
      <c r="AB20" s="14">
        <v>51.779</v>
      </c>
      <c r="AC20" s="14">
        <v>312.416</v>
      </c>
      <c r="AD20" s="14">
        <v>54.44</v>
      </c>
      <c r="AE20" s="14">
        <v>6725.244</v>
      </c>
      <c r="AF20" s="14">
        <v>3.232</v>
      </c>
      <c r="AG20" s="14">
        <v>164.087</v>
      </c>
      <c r="AH20" s="28">
        <f t="shared" si="1"/>
        <v>6</v>
      </c>
      <c r="AI20" s="14" t="s">
        <v>165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1</v>
      </c>
      <c r="AP20" s="14">
        <v>0</v>
      </c>
      <c r="AQ20" s="28">
        <f t="shared" si="2"/>
        <v>6</v>
      </c>
      <c r="AR20" s="14" t="s">
        <v>161</v>
      </c>
      <c r="AS20" s="14" t="s">
        <v>168</v>
      </c>
      <c r="AT20" s="14" t="s">
        <v>165</v>
      </c>
      <c r="AU20" s="14" t="s">
        <v>164</v>
      </c>
      <c r="AV20" s="14" t="s">
        <v>162</v>
      </c>
      <c r="AW20" s="14" t="s">
        <v>163</v>
      </c>
      <c r="AX20" s="14" t="s">
        <v>166</v>
      </c>
      <c r="AY20" s="14" t="s">
        <v>167</v>
      </c>
      <c r="AZ20" s="40">
        <f t="shared" si="3"/>
        <v>7</v>
      </c>
      <c r="BA20" s="14" t="s">
        <v>161</v>
      </c>
      <c r="BB20" s="14">
        <v>100.212</v>
      </c>
      <c r="BC20" s="14">
        <v>102.793</v>
      </c>
      <c r="BD20" s="14">
        <v>175.656</v>
      </c>
      <c r="BE20" s="14">
        <v>102.029</v>
      </c>
      <c r="BF20" s="14">
        <v>5529.183</v>
      </c>
      <c r="BG20" s="14">
        <v>84.834</v>
      </c>
      <c r="BH20" s="14">
        <v>80.347</v>
      </c>
      <c r="BI20" s="28">
        <f t="shared" si="4"/>
        <v>7</v>
      </c>
      <c r="BJ20" s="14" t="s">
        <v>161</v>
      </c>
      <c r="BK20" s="14">
        <v>0.000209</v>
      </c>
      <c r="BL20" s="14">
        <v>2.3e-5</v>
      </c>
      <c r="BM20" s="14">
        <v>0</v>
      </c>
      <c r="BN20" s="14">
        <v>5.1e-5</v>
      </c>
      <c r="BO20" s="14">
        <v>0</v>
      </c>
      <c r="BP20" s="14">
        <v>0.137249</v>
      </c>
      <c r="BQ20" s="14">
        <v>0.862468</v>
      </c>
      <c r="BR20" s="28">
        <f t="shared" si="5"/>
        <v>7</v>
      </c>
      <c r="BS20" s="28">
        <f t="shared" si="6"/>
        <v>0</v>
      </c>
      <c r="BT20" s="28">
        <f t="shared" si="7"/>
        <v>0</v>
      </c>
      <c r="BU20" s="28">
        <f t="shared" si="8"/>
        <v>1</v>
      </c>
      <c r="BV20" s="28">
        <f t="shared" si="9"/>
        <v>0</v>
      </c>
      <c r="BW20" s="14">
        <v>5</v>
      </c>
      <c r="BX20" s="15">
        <v>6</v>
      </c>
    </row>
    <row r="21" spans="1:76">
      <c r="A21" s="34" t="s">
        <v>29</v>
      </c>
      <c r="B21" s="35">
        <v>-1.32910955462149</v>
      </c>
      <c r="C21" s="35">
        <v>-1.103268336834</v>
      </c>
      <c r="D21" s="35">
        <v>-0.0227563258443709</v>
      </c>
      <c r="E21" s="35">
        <v>1.17825167242322</v>
      </c>
      <c r="F21" s="35">
        <v>0.536835017740021</v>
      </c>
      <c r="G21" s="35">
        <v>1.03376283272255</v>
      </c>
      <c r="H21" s="35">
        <v>-1.85881361569486</v>
      </c>
      <c r="I21" s="35">
        <v>-0.00136043299312134</v>
      </c>
      <c r="J21" s="35">
        <v>-0.91114827682567</v>
      </c>
      <c r="K21" s="6">
        <v>2</v>
      </c>
      <c r="L21" s="6">
        <v>7</v>
      </c>
      <c r="M21" s="6">
        <v>7</v>
      </c>
      <c r="N21" s="6">
        <v>3</v>
      </c>
      <c r="O21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10.0147666068041</v>
      </c>
      <c r="P21" s="39"/>
      <c r="Q21" s="3" t="s">
        <v>161</v>
      </c>
      <c r="R21" s="3" t="s">
        <v>166</v>
      </c>
      <c r="S21" s="3" t="s">
        <v>168</v>
      </c>
      <c r="T21" s="3" t="s">
        <v>164</v>
      </c>
      <c r="U21" s="3" t="s">
        <v>163</v>
      </c>
      <c r="V21" s="3" t="s">
        <v>162</v>
      </c>
      <c r="W21" s="3" t="s">
        <v>167</v>
      </c>
      <c r="X21" s="3" t="s">
        <v>165</v>
      </c>
      <c r="Y21" s="40">
        <f t="shared" si="0"/>
        <v>3</v>
      </c>
      <c r="Z21" s="14" t="s">
        <v>161</v>
      </c>
      <c r="AA21" s="14">
        <v>172.435</v>
      </c>
      <c r="AB21" s="14">
        <v>188.47</v>
      </c>
      <c r="AC21" s="14">
        <v>114.952</v>
      </c>
      <c r="AD21" s="14">
        <v>175.26</v>
      </c>
      <c r="AE21" s="14">
        <v>5042.602</v>
      </c>
      <c r="AF21" s="14">
        <v>283.69</v>
      </c>
      <c r="AG21" s="14">
        <v>163.698</v>
      </c>
      <c r="AH21" s="28">
        <f t="shared" si="1"/>
        <v>3</v>
      </c>
      <c r="AI21" s="14" t="s">
        <v>161</v>
      </c>
      <c r="AJ21" s="14">
        <v>0</v>
      </c>
      <c r="AK21" s="14">
        <v>0</v>
      </c>
      <c r="AL21" s="14">
        <v>1</v>
      </c>
      <c r="AM21" s="14">
        <v>0</v>
      </c>
      <c r="AN21" s="14">
        <v>0</v>
      </c>
      <c r="AO21" s="14">
        <v>0</v>
      </c>
      <c r="AP21" s="14">
        <v>0</v>
      </c>
      <c r="AQ21" s="28">
        <f t="shared" si="2"/>
        <v>3</v>
      </c>
      <c r="AR21" s="14" t="s">
        <v>161</v>
      </c>
      <c r="AS21" s="14" t="s">
        <v>166</v>
      </c>
      <c r="AT21" s="14" t="s">
        <v>168</v>
      </c>
      <c r="AU21" s="14" t="s">
        <v>164</v>
      </c>
      <c r="AV21" s="14" t="s">
        <v>163</v>
      </c>
      <c r="AW21" s="14" t="s">
        <v>162</v>
      </c>
      <c r="AX21" s="14" t="s">
        <v>167</v>
      </c>
      <c r="AY21" s="14" t="s">
        <v>165</v>
      </c>
      <c r="AZ21" s="40">
        <f t="shared" si="3"/>
        <v>3</v>
      </c>
      <c r="BA21" s="14" t="s">
        <v>161</v>
      </c>
      <c r="BB21" s="14">
        <v>154.613</v>
      </c>
      <c r="BC21" s="14">
        <v>194.611</v>
      </c>
      <c r="BD21" s="14">
        <v>55.581</v>
      </c>
      <c r="BE21" s="14">
        <v>216.232</v>
      </c>
      <c r="BF21" s="14">
        <v>5317.053</v>
      </c>
      <c r="BG21" s="14">
        <v>282.028</v>
      </c>
      <c r="BH21" s="14">
        <v>94.44</v>
      </c>
      <c r="BI21" s="28">
        <f t="shared" si="4"/>
        <v>3</v>
      </c>
      <c r="BJ21" s="14" t="s">
        <v>161</v>
      </c>
      <c r="BK21" s="14">
        <v>0</v>
      </c>
      <c r="BL21" s="14">
        <v>0</v>
      </c>
      <c r="BM21" s="14">
        <v>1</v>
      </c>
      <c r="BN21" s="14">
        <v>0</v>
      </c>
      <c r="BO21" s="14">
        <v>0</v>
      </c>
      <c r="BP21" s="14">
        <v>0</v>
      </c>
      <c r="BQ21" s="14">
        <v>0</v>
      </c>
      <c r="BR21" s="28">
        <f t="shared" si="5"/>
        <v>3</v>
      </c>
      <c r="BS21" s="28">
        <f t="shared" si="6"/>
        <v>0</v>
      </c>
      <c r="BT21" s="28">
        <f t="shared" si="7"/>
        <v>0</v>
      </c>
      <c r="BU21" s="28">
        <f t="shared" si="8"/>
        <v>1</v>
      </c>
      <c r="BV21" s="28">
        <f t="shared" si="9"/>
        <v>1</v>
      </c>
      <c r="BW21" s="14">
        <v>7</v>
      </c>
      <c r="BX21" s="15">
        <v>7</v>
      </c>
    </row>
    <row r="22" spans="1:76">
      <c r="A22" s="36" t="s">
        <v>30</v>
      </c>
      <c r="B22" s="37">
        <v>0.171088876019085</v>
      </c>
      <c r="C22" s="37">
        <v>-0.0945231111786919</v>
      </c>
      <c r="D22" s="37">
        <v>-0.275456438128605</v>
      </c>
      <c r="E22" s="37">
        <v>-0.403871661188289</v>
      </c>
      <c r="F22" s="37">
        <v>-0.182273570255073</v>
      </c>
      <c r="G22" s="37">
        <v>-0.703095944806569</v>
      </c>
      <c r="H22" s="37">
        <v>-0.709545323341459</v>
      </c>
      <c r="I22" s="37">
        <v>-0.32737821436704</v>
      </c>
      <c r="J22" s="37">
        <v>0.475334383403363</v>
      </c>
      <c r="K22" s="7">
        <v>3</v>
      </c>
      <c r="L22" s="7">
        <v>7</v>
      </c>
      <c r="M22" s="7">
        <v>5</v>
      </c>
      <c r="N22" s="7">
        <v>4</v>
      </c>
      <c r="O22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1.64133598924216</v>
      </c>
      <c r="P22" s="39"/>
      <c r="Q22" s="3" t="s">
        <v>161</v>
      </c>
      <c r="R22" s="3" t="s">
        <v>162</v>
      </c>
      <c r="S22" s="3" t="s">
        <v>163</v>
      </c>
      <c r="T22" s="3" t="s">
        <v>164</v>
      </c>
      <c r="U22" s="3" t="s">
        <v>165</v>
      </c>
      <c r="V22" s="3" t="s">
        <v>168</v>
      </c>
      <c r="W22" s="3" t="s">
        <v>166</v>
      </c>
      <c r="X22" s="3" t="s">
        <v>167</v>
      </c>
      <c r="Y22" s="40">
        <f t="shared" si="0"/>
        <v>4</v>
      </c>
      <c r="Z22" s="14" t="s">
        <v>162</v>
      </c>
      <c r="AA22" s="14">
        <v>29.805</v>
      </c>
      <c r="AB22" s="14">
        <v>30.932</v>
      </c>
      <c r="AC22" s="14">
        <v>265.483</v>
      </c>
      <c r="AD22" s="14">
        <v>6.938</v>
      </c>
      <c r="AE22" s="14">
        <v>6501.158</v>
      </c>
      <c r="AF22" s="14">
        <v>41.65</v>
      </c>
      <c r="AG22" s="14">
        <v>140.939</v>
      </c>
      <c r="AH22" s="28">
        <f t="shared" si="1"/>
        <v>4</v>
      </c>
      <c r="AI22" s="14" t="s">
        <v>162</v>
      </c>
      <c r="AJ22" s="14">
        <v>1.8e-5</v>
      </c>
      <c r="AK22" s="14">
        <v>4e-6</v>
      </c>
      <c r="AL22" s="14">
        <v>0</v>
      </c>
      <c r="AM22" s="14">
        <v>0.999978</v>
      </c>
      <c r="AN22" s="14">
        <v>0</v>
      </c>
      <c r="AO22" s="14">
        <v>0</v>
      </c>
      <c r="AP22" s="14">
        <v>0</v>
      </c>
      <c r="AQ22" s="28">
        <f t="shared" si="2"/>
        <v>4</v>
      </c>
      <c r="AR22" s="14" t="s">
        <v>161</v>
      </c>
      <c r="AS22" s="14" t="s">
        <v>163</v>
      </c>
      <c r="AT22" s="14" t="s">
        <v>162</v>
      </c>
      <c r="AU22" s="14" t="s">
        <v>164</v>
      </c>
      <c r="AV22" s="14" t="s">
        <v>165</v>
      </c>
      <c r="AW22" s="14" t="s">
        <v>168</v>
      </c>
      <c r="AX22" s="14" t="s">
        <v>166</v>
      </c>
      <c r="AY22" s="14" t="s">
        <v>167</v>
      </c>
      <c r="AZ22" s="40">
        <f t="shared" si="3"/>
        <v>2</v>
      </c>
      <c r="BA22" s="14" t="s">
        <v>161</v>
      </c>
      <c r="BB22" s="14">
        <v>25.806</v>
      </c>
      <c r="BC22" s="14">
        <v>15.443</v>
      </c>
      <c r="BD22" s="14">
        <v>285.54</v>
      </c>
      <c r="BE22" s="14">
        <v>17.275</v>
      </c>
      <c r="BF22" s="14">
        <v>6997.517</v>
      </c>
      <c r="BG22" s="14">
        <v>57.799</v>
      </c>
      <c r="BH22" s="14">
        <v>127.797</v>
      </c>
      <c r="BI22" s="28">
        <f t="shared" si="4"/>
        <v>2</v>
      </c>
      <c r="BJ22" s="14" t="s">
        <v>161</v>
      </c>
      <c r="BK22" s="14">
        <v>0.008702</v>
      </c>
      <c r="BL22" s="14">
        <v>0.619514</v>
      </c>
      <c r="BM22" s="14">
        <v>0</v>
      </c>
      <c r="BN22" s="14">
        <v>0.371784</v>
      </c>
      <c r="BO22" s="14">
        <v>0</v>
      </c>
      <c r="BP22" s="14">
        <v>0</v>
      </c>
      <c r="BQ22" s="14">
        <v>0</v>
      </c>
      <c r="BR22" s="28">
        <f t="shared" si="5"/>
        <v>2</v>
      </c>
      <c r="BS22" s="28">
        <f t="shared" si="6"/>
        <v>0</v>
      </c>
      <c r="BT22" s="28">
        <f t="shared" si="7"/>
        <v>0</v>
      </c>
      <c r="BU22" s="28">
        <f t="shared" si="8"/>
        <v>1</v>
      </c>
      <c r="BV22" s="28">
        <f t="shared" si="9"/>
        <v>0</v>
      </c>
      <c r="BW22" s="14">
        <v>6</v>
      </c>
      <c r="BX22" s="15">
        <v>4</v>
      </c>
    </row>
    <row r="23" spans="1:76">
      <c r="A23" s="34" t="s">
        <v>31</v>
      </c>
      <c r="B23" s="35">
        <v>-0.301332432631802</v>
      </c>
      <c r="C23" s="35">
        <v>-0.140704136200151</v>
      </c>
      <c r="D23" s="35">
        <v>0.514058172280454</v>
      </c>
      <c r="E23" s="35">
        <v>-0.254614742923052</v>
      </c>
      <c r="F23" s="35">
        <v>-0.941168903897436</v>
      </c>
      <c r="G23" s="35">
        <v>-0.880585162948231</v>
      </c>
      <c r="H23" s="35">
        <v>-0.496467800652817</v>
      </c>
      <c r="I23" s="35">
        <v>-0.195840920954634</v>
      </c>
      <c r="J23" s="35">
        <v>-0.359518877416526</v>
      </c>
      <c r="K23" s="6">
        <v>3</v>
      </c>
      <c r="L23" s="6">
        <v>7</v>
      </c>
      <c r="M23" s="6">
        <v>5</v>
      </c>
      <c r="N23" s="6">
        <v>2</v>
      </c>
      <c r="O23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2.51500026219399</v>
      </c>
      <c r="P23" s="39"/>
      <c r="Q23" s="3" t="s">
        <v>161</v>
      </c>
      <c r="R23" s="3" t="s">
        <v>163</v>
      </c>
      <c r="S23" s="3" t="s">
        <v>164</v>
      </c>
      <c r="T23" s="3" t="s">
        <v>162</v>
      </c>
      <c r="U23" s="3" t="s">
        <v>165</v>
      </c>
      <c r="V23" s="3" t="s">
        <v>168</v>
      </c>
      <c r="W23" s="3" t="s">
        <v>166</v>
      </c>
      <c r="X23" s="3" t="s">
        <v>167</v>
      </c>
      <c r="Y23" s="40">
        <f t="shared" si="0"/>
        <v>2</v>
      </c>
      <c r="Z23" s="14" t="s">
        <v>161</v>
      </c>
      <c r="AA23" s="14">
        <v>25.461</v>
      </c>
      <c r="AB23" s="14">
        <v>8.17</v>
      </c>
      <c r="AC23" s="14">
        <v>289.183</v>
      </c>
      <c r="AD23" s="14">
        <v>25.121</v>
      </c>
      <c r="AE23" s="14">
        <v>7010.453</v>
      </c>
      <c r="AF23" s="14">
        <v>57.198</v>
      </c>
      <c r="AG23" s="14">
        <v>138.646</v>
      </c>
      <c r="AH23" s="28">
        <f t="shared" si="1"/>
        <v>2</v>
      </c>
      <c r="AI23" s="14" t="s">
        <v>161</v>
      </c>
      <c r="AJ23" s="14">
        <v>0.000439</v>
      </c>
      <c r="AK23" s="14">
        <v>0.999248</v>
      </c>
      <c r="AL23" s="14">
        <v>0</v>
      </c>
      <c r="AM23" s="14">
        <v>0.000312</v>
      </c>
      <c r="AN23" s="14">
        <v>0</v>
      </c>
      <c r="AO23" s="14">
        <v>0</v>
      </c>
      <c r="AP23" s="14">
        <v>0</v>
      </c>
      <c r="AQ23" s="28">
        <f t="shared" si="2"/>
        <v>2</v>
      </c>
      <c r="AR23" s="14" t="s">
        <v>161</v>
      </c>
      <c r="AS23" s="14" t="s">
        <v>163</v>
      </c>
      <c r="AT23" s="14" t="s">
        <v>162</v>
      </c>
      <c r="AU23" s="14" t="s">
        <v>164</v>
      </c>
      <c r="AV23" s="14" t="s">
        <v>165</v>
      </c>
      <c r="AW23" s="14" t="s">
        <v>168</v>
      </c>
      <c r="AX23" s="14" t="s">
        <v>166</v>
      </c>
      <c r="AY23" s="14" t="s">
        <v>167</v>
      </c>
      <c r="AZ23" s="40">
        <f t="shared" si="3"/>
        <v>2</v>
      </c>
      <c r="BA23" s="14" t="s">
        <v>161</v>
      </c>
      <c r="BB23" s="14">
        <v>23.752</v>
      </c>
      <c r="BC23" s="14">
        <v>5.402</v>
      </c>
      <c r="BD23" s="14">
        <v>256.298</v>
      </c>
      <c r="BE23" s="14">
        <v>21.94</v>
      </c>
      <c r="BF23" s="14">
        <v>6858.036</v>
      </c>
      <c r="BG23" s="14">
        <v>41.512</v>
      </c>
      <c r="BH23" s="14">
        <v>128.648</v>
      </c>
      <c r="BI23" s="28">
        <f t="shared" si="4"/>
        <v>2</v>
      </c>
      <c r="BJ23" s="14" t="s">
        <v>161</v>
      </c>
      <c r="BK23" s="14">
        <v>0.000259</v>
      </c>
      <c r="BL23" s="14">
        <v>0.999357</v>
      </c>
      <c r="BM23" s="14">
        <v>0</v>
      </c>
      <c r="BN23" s="14">
        <v>0.000384</v>
      </c>
      <c r="BO23" s="14">
        <v>0</v>
      </c>
      <c r="BP23" s="14">
        <v>0</v>
      </c>
      <c r="BQ23" s="14">
        <v>0</v>
      </c>
      <c r="BR23" s="28">
        <f t="shared" si="5"/>
        <v>2</v>
      </c>
      <c r="BS23" s="28">
        <f t="shared" si="6"/>
        <v>0</v>
      </c>
      <c r="BT23" s="28">
        <f t="shared" si="7"/>
        <v>0</v>
      </c>
      <c r="BU23" s="28">
        <f t="shared" si="8"/>
        <v>1</v>
      </c>
      <c r="BV23" s="28">
        <f t="shared" si="9"/>
        <v>1</v>
      </c>
      <c r="BW23" s="14">
        <v>1</v>
      </c>
      <c r="BX23" s="15">
        <v>1</v>
      </c>
    </row>
    <row r="24" spans="1:76">
      <c r="A24" s="36" t="s">
        <v>32</v>
      </c>
      <c r="B24" s="37">
        <v>0.142511664211819</v>
      </c>
      <c r="C24" s="37">
        <v>-0.359891687794539</v>
      </c>
      <c r="D24" s="37">
        <v>-0.0463170310116396</v>
      </c>
      <c r="E24" s="37">
        <v>-0.314317510229146</v>
      </c>
      <c r="F24" s="37">
        <v>-0.354682801393241</v>
      </c>
      <c r="G24" s="37">
        <v>-1.14681899016072</v>
      </c>
      <c r="H24" s="37">
        <v>-0.129704395595301</v>
      </c>
      <c r="I24" s="37">
        <v>-0.0992031225953303</v>
      </c>
      <c r="J24" s="37">
        <v>0.385759385029126</v>
      </c>
      <c r="K24" s="7">
        <v>3</v>
      </c>
      <c r="L24" s="7">
        <v>7</v>
      </c>
      <c r="M24" s="7">
        <v>5</v>
      </c>
      <c r="N24" s="7">
        <v>4</v>
      </c>
      <c r="O24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1.86724084468323</v>
      </c>
      <c r="P24" s="39"/>
      <c r="Q24" s="3" t="s">
        <v>161</v>
      </c>
      <c r="R24" s="3" t="s">
        <v>162</v>
      </c>
      <c r="S24" s="3" t="s">
        <v>163</v>
      </c>
      <c r="T24" s="3" t="s">
        <v>164</v>
      </c>
      <c r="U24" s="3" t="s">
        <v>165</v>
      </c>
      <c r="V24" s="3" t="s">
        <v>168</v>
      </c>
      <c r="W24" s="3" t="s">
        <v>166</v>
      </c>
      <c r="X24" s="3" t="s">
        <v>167</v>
      </c>
      <c r="Y24" s="40">
        <f t="shared" si="0"/>
        <v>4</v>
      </c>
      <c r="Z24" s="14" t="s">
        <v>162</v>
      </c>
      <c r="AA24" s="14">
        <v>39.799</v>
      </c>
      <c r="AB24" s="14">
        <v>29.745</v>
      </c>
      <c r="AC24" s="14">
        <v>309.972</v>
      </c>
      <c r="AD24" s="14">
        <v>3.379</v>
      </c>
      <c r="AE24" s="14">
        <v>6611.255</v>
      </c>
      <c r="AF24" s="14">
        <v>77.107</v>
      </c>
      <c r="AG24" s="14">
        <v>169.259</v>
      </c>
      <c r="AH24" s="28">
        <f t="shared" si="1"/>
        <v>4</v>
      </c>
      <c r="AI24" s="14" t="s">
        <v>162</v>
      </c>
      <c r="AJ24" s="14">
        <v>0</v>
      </c>
      <c r="AK24" s="14">
        <v>1e-6</v>
      </c>
      <c r="AL24" s="14">
        <v>0</v>
      </c>
      <c r="AM24" s="14">
        <v>0.999999</v>
      </c>
      <c r="AN24" s="14">
        <v>0</v>
      </c>
      <c r="AO24" s="14">
        <v>0</v>
      </c>
      <c r="AP24" s="14">
        <v>0</v>
      </c>
      <c r="AQ24" s="28">
        <f t="shared" si="2"/>
        <v>4</v>
      </c>
      <c r="AR24" s="14" t="s">
        <v>161</v>
      </c>
      <c r="AS24" s="14" t="s">
        <v>162</v>
      </c>
      <c r="AT24" s="14" t="s">
        <v>163</v>
      </c>
      <c r="AU24" s="14" t="s">
        <v>164</v>
      </c>
      <c r="AV24" s="14" t="s">
        <v>165</v>
      </c>
      <c r="AW24" s="14" t="s">
        <v>168</v>
      </c>
      <c r="AX24" s="14" t="s">
        <v>166</v>
      </c>
      <c r="AY24" s="14" t="s">
        <v>167</v>
      </c>
      <c r="AZ24" s="40">
        <f t="shared" si="3"/>
        <v>4</v>
      </c>
      <c r="BA24" s="14" t="s">
        <v>161</v>
      </c>
      <c r="BB24" s="14">
        <v>27.072</v>
      </c>
      <c r="BC24" s="14">
        <v>10.246</v>
      </c>
      <c r="BD24" s="14">
        <v>253.123</v>
      </c>
      <c r="BE24" s="14">
        <v>8.753</v>
      </c>
      <c r="BF24" s="14">
        <v>6623.481</v>
      </c>
      <c r="BG24" s="14">
        <v>33.163</v>
      </c>
      <c r="BH24" s="14">
        <v>116.827</v>
      </c>
      <c r="BI24" s="28">
        <f t="shared" si="4"/>
        <v>4</v>
      </c>
      <c r="BJ24" s="14" t="s">
        <v>161</v>
      </c>
      <c r="BK24" s="14">
        <v>0.000133</v>
      </c>
      <c r="BL24" s="14">
        <v>0.240058</v>
      </c>
      <c r="BM24" s="14">
        <v>0</v>
      </c>
      <c r="BN24" s="14">
        <v>0.759807</v>
      </c>
      <c r="BO24" s="14">
        <v>0</v>
      </c>
      <c r="BP24" s="14">
        <v>2e-6</v>
      </c>
      <c r="BQ24" s="14">
        <v>0</v>
      </c>
      <c r="BR24" s="28">
        <f t="shared" si="5"/>
        <v>4</v>
      </c>
      <c r="BS24" s="28">
        <f t="shared" si="6"/>
        <v>0</v>
      </c>
      <c r="BT24" s="28">
        <f t="shared" si="7"/>
        <v>0</v>
      </c>
      <c r="BU24" s="28">
        <f t="shared" si="8"/>
        <v>1</v>
      </c>
      <c r="BV24" s="28">
        <f t="shared" si="9"/>
        <v>1</v>
      </c>
      <c r="BW24" s="14">
        <v>1</v>
      </c>
      <c r="BX24" s="15">
        <v>4</v>
      </c>
    </row>
    <row r="25" spans="1:76">
      <c r="A25" s="34" t="s">
        <v>33</v>
      </c>
      <c r="B25" s="35">
        <v>0.701102833952381</v>
      </c>
      <c r="C25" s="35">
        <v>-0.512564777977423</v>
      </c>
      <c r="D25" s="35">
        <v>-0.86770788958818</v>
      </c>
      <c r="E25" s="35">
        <v>-0.553128579453525</v>
      </c>
      <c r="F25" s="35">
        <v>-0.17785282073871</v>
      </c>
      <c r="G25" s="35">
        <v>0.543554515950341</v>
      </c>
      <c r="H25" s="35">
        <v>1.65296029207584</v>
      </c>
      <c r="I25" s="35">
        <v>-0.366334165482162</v>
      </c>
      <c r="J25" s="35">
        <v>-0.628876691716744</v>
      </c>
      <c r="K25" s="6">
        <v>5</v>
      </c>
      <c r="L25" s="6">
        <v>7</v>
      </c>
      <c r="M25" s="6">
        <v>2</v>
      </c>
      <c r="N25" s="6">
        <v>1</v>
      </c>
      <c r="O25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5.40218352147923</v>
      </c>
      <c r="P25" s="39"/>
      <c r="Q25" s="3" t="s">
        <v>161</v>
      </c>
      <c r="R25" s="3" t="s">
        <v>165</v>
      </c>
      <c r="S25" s="3" t="s">
        <v>164</v>
      </c>
      <c r="T25" s="3" t="s">
        <v>163</v>
      </c>
      <c r="U25" s="3" t="s">
        <v>162</v>
      </c>
      <c r="V25" s="3" t="s">
        <v>168</v>
      </c>
      <c r="W25" s="3" t="s">
        <v>166</v>
      </c>
      <c r="X25" s="3" t="s">
        <v>167</v>
      </c>
      <c r="Y25" s="40">
        <f t="shared" si="0"/>
        <v>6</v>
      </c>
      <c r="Z25" s="14" t="s">
        <v>164</v>
      </c>
      <c r="AA25" s="14">
        <v>7.387</v>
      </c>
      <c r="AB25" s="14">
        <v>20.586</v>
      </c>
      <c r="AC25" s="14">
        <v>173.405</v>
      </c>
      <c r="AD25" s="14">
        <v>43.146</v>
      </c>
      <c r="AE25" s="14">
        <v>6843.707</v>
      </c>
      <c r="AF25" s="14">
        <v>77.502</v>
      </c>
      <c r="AG25" s="14">
        <v>101.139</v>
      </c>
      <c r="AH25" s="28">
        <f t="shared" si="1"/>
        <v>1</v>
      </c>
      <c r="AI25" s="14" t="s">
        <v>164</v>
      </c>
      <c r="AJ25" s="14">
        <v>0.999456</v>
      </c>
      <c r="AK25" s="14">
        <v>0.000544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28">
        <f t="shared" si="2"/>
        <v>1</v>
      </c>
      <c r="AR25" s="14" t="s">
        <v>161</v>
      </c>
      <c r="AS25" s="14" t="s">
        <v>165</v>
      </c>
      <c r="AT25" s="14" t="s">
        <v>164</v>
      </c>
      <c r="AU25" s="14" t="s">
        <v>163</v>
      </c>
      <c r="AV25" s="14" t="s">
        <v>162</v>
      </c>
      <c r="AW25" s="14" t="s">
        <v>168</v>
      </c>
      <c r="AX25" s="14" t="s">
        <v>166</v>
      </c>
      <c r="AY25" s="14" t="s">
        <v>167</v>
      </c>
      <c r="AZ25" s="40">
        <f t="shared" si="3"/>
        <v>6</v>
      </c>
      <c r="BA25" s="14" t="s">
        <v>161</v>
      </c>
      <c r="BB25" s="14">
        <v>51.626</v>
      </c>
      <c r="BC25" s="14">
        <v>76.769</v>
      </c>
      <c r="BD25" s="14">
        <v>172.216</v>
      </c>
      <c r="BE25" s="14">
        <v>96.103</v>
      </c>
      <c r="BF25" s="14">
        <v>6569.556</v>
      </c>
      <c r="BG25" s="14">
        <v>23.869</v>
      </c>
      <c r="BH25" s="14">
        <v>148.838</v>
      </c>
      <c r="BI25" s="28">
        <f t="shared" si="4"/>
        <v>6</v>
      </c>
      <c r="BJ25" s="14" t="s">
        <v>161</v>
      </c>
      <c r="BK25" s="14">
        <v>3e-6</v>
      </c>
      <c r="BL25" s="14">
        <v>0</v>
      </c>
      <c r="BM25" s="14">
        <v>0</v>
      </c>
      <c r="BN25" s="14">
        <v>0</v>
      </c>
      <c r="BO25" s="14">
        <v>0</v>
      </c>
      <c r="BP25" s="14">
        <v>0.999997</v>
      </c>
      <c r="BQ25" s="14">
        <v>0</v>
      </c>
      <c r="BR25" s="28">
        <f t="shared" si="5"/>
        <v>6</v>
      </c>
      <c r="BS25" s="28">
        <f t="shared" si="6"/>
        <v>0</v>
      </c>
      <c r="BT25" s="28">
        <f t="shared" si="7"/>
        <v>0</v>
      </c>
      <c r="BU25" s="28">
        <f t="shared" si="8"/>
        <v>0</v>
      </c>
      <c r="BV25" s="28">
        <f t="shared" si="9"/>
        <v>0</v>
      </c>
      <c r="BW25" s="14">
        <v>6</v>
      </c>
      <c r="BX25" s="15">
        <v>5</v>
      </c>
    </row>
    <row r="26" spans="1:76">
      <c r="A26" s="36" t="s">
        <v>34</v>
      </c>
      <c r="B26" s="37">
        <v>0.490384499083676</v>
      </c>
      <c r="C26" s="37">
        <v>0.290089007656744</v>
      </c>
      <c r="D26" s="37">
        <v>-0.135940105569485</v>
      </c>
      <c r="E26" s="37">
        <v>-0.61283134675962</v>
      </c>
      <c r="F26" s="37">
        <v>0.60314626048547</v>
      </c>
      <c r="G26" s="37">
        <v>0.150542675779518</v>
      </c>
      <c r="H26" s="37">
        <v>0.0775369543451556</v>
      </c>
      <c r="I26" s="37">
        <v>-0.325635635236792</v>
      </c>
      <c r="J26" s="37">
        <v>-0.303510307005826</v>
      </c>
      <c r="K26" s="7">
        <v>3</v>
      </c>
      <c r="L26" s="7">
        <v>7</v>
      </c>
      <c r="M26" s="7">
        <v>5</v>
      </c>
      <c r="N26" s="7">
        <v>1</v>
      </c>
      <c r="O26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1.30928812263071</v>
      </c>
      <c r="P26" s="39">
        <v>1</v>
      </c>
      <c r="Q26" s="3" t="s">
        <v>164</v>
      </c>
      <c r="R26" s="3" t="s">
        <v>164</v>
      </c>
      <c r="S26" s="3" t="s">
        <v>163</v>
      </c>
      <c r="T26" s="3" t="s">
        <v>162</v>
      </c>
      <c r="U26" s="3" t="s">
        <v>165</v>
      </c>
      <c r="V26" s="3" t="s">
        <v>168</v>
      </c>
      <c r="W26" s="3" t="s">
        <v>166</v>
      </c>
      <c r="X26" s="3" t="s">
        <v>167</v>
      </c>
      <c r="Y26" s="40">
        <f t="shared" si="0"/>
        <v>1</v>
      </c>
      <c r="Z26" s="14" t="s">
        <v>161</v>
      </c>
      <c r="AA26" s="14">
        <v>78.722</v>
      </c>
      <c r="AB26" s="14">
        <v>117.225</v>
      </c>
      <c r="AC26" s="14">
        <v>169.294</v>
      </c>
      <c r="AD26" s="14">
        <v>161.477</v>
      </c>
      <c r="AE26" s="14">
        <v>6706.433</v>
      </c>
      <c r="AF26" s="14">
        <v>75.999</v>
      </c>
      <c r="AG26" s="14">
        <v>175.346</v>
      </c>
      <c r="AH26" s="28">
        <f t="shared" si="1"/>
        <v>6</v>
      </c>
      <c r="AI26" s="14" t="s">
        <v>161</v>
      </c>
      <c r="AJ26" s="14">
        <v>0.460679</v>
      </c>
      <c r="AK26" s="14">
        <v>0</v>
      </c>
      <c r="AL26" s="14">
        <v>0</v>
      </c>
      <c r="AM26" s="14">
        <v>0</v>
      </c>
      <c r="AN26" s="14">
        <v>0</v>
      </c>
      <c r="AO26" s="14">
        <v>0.539321</v>
      </c>
      <c r="AP26" s="14">
        <v>0</v>
      </c>
      <c r="AQ26" s="28">
        <f t="shared" si="2"/>
        <v>6</v>
      </c>
      <c r="AR26" s="14" t="s">
        <v>164</v>
      </c>
      <c r="AS26" s="14" t="s">
        <v>164</v>
      </c>
      <c r="AT26" s="14" t="s">
        <v>163</v>
      </c>
      <c r="AU26" s="14" t="s">
        <v>162</v>
      </c>
      <c r="AV26" s="14" t="s">
        <v>165</v>
      </c>
      <c r="AW26" s="14" t="s">
        <v>168</v>
      </c>
      <c r="AX26" s="14" t="s">
        <v>166</v>
      </c>
      <c r="AY26" s="14" t="s">
        <v>167</v>
      </c>
      <c r="AZ26" s="40">
        <f t="shared" si="3"/>
        <v>1</v>
      </c>
      <c r="BA26" s="14" t="s">
        <v>164</v>
      </c>
      <c r="BB26" s="14">
        <v>3.618</v>
      </c>
      <c r="BC26" s="14">
        <v>18.938</v>
      </c>
      <c r="BD26" s="14">
        <v>179.203</v>
      </c>
      <c r="BE26" s="14">
        <v>36.795</v>
      </c>
      <c r="BF26" s="14">
        <v>6683.137</v>
      </c>
      <c r="BG26" s="14">
        <v>39.362</v>
      </c>
      <c r="BH26" s="14">
        <v>71.693</v>
      </c>
      <c r="BI26" s="28">
        <f t="shared" si="4"/>
        <v>1</v>
      </c>
      <c r="BJ26" s="14" t="s">
        <v>164</v>
      </c>
      <c r="BK26" s="14">
        <v>0.999812</v>
      </c>
      <c r="BL26" s="14">
        <v>0.000188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28">
        <f t="shared" si="5"/>
        <v>1</v>
      </c>
      <c r="BS26" s="28">
        <f t="shared" si="6"/>
        <v>1</v>
      </c>
      <c r="BT26" s="28">
        <f t="shared" si="7"/>
        <v>1</v>
      </c>
      <c r="BU26" s="28">
        <f t="shared" si="8"/>
        <v>1</v>
      </c>
      <c r="BV26" s="28">
        <f t="shared" si="9"/>
        <v>1</v>
      </c>
      <c r="BW26" s="14">
        <v>6</v>
      </c>
      <c r="BX26" s="15">
        <v>4</v>
      </c>
    </row>
    <row r="27" spans="1:76">
      <c r="A27" s="34" t="s">
        <v>35</v>
      </c>
      <c r="B27" s="35">
        <v>-0.186590835107558</v>
      </c>
      <c r="C27" s="35">
        <v>-0.484994016770581</v>
      </c>
      <c r="D27" s="35">
        <v>1.64266214725373</v>
      </c>
      <c r="E27" s="35">
        <v>0.461818464750086</v>
      </c>
      <c r="F27" s="35">
        <v>-0.558037279145952</v>
      </c>
      <c r="G27" s="35">
        <v>-0.436862117594076</v>
      </c>
      <c r="H27" s="35">
        <v>-0.984646485824539</v>
      </c>
      <c r="I27" s="35">
        <v>-0.225530137844685</v>
      </c>
      <c r="J27" s="35">
        <v>1.72019855129824</v>
      </c>
      <c r="K27" s="6">
        <v>3</v>
      </c>
      <c r="L27" s="6">
        <v>7</v>
      </c>
      <c r="M27" s="6">
        <v>4</v>
      </c>
      <c r="N27" s="6">
        <v>4</v>
      </c>
      <c r="O27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7.66338027617058</v>
      </c>
      <c r="P27" s="39"/>
      <c r="Q27" s="3" t="s">
        <v>161</v>
      </c>
      <c r="R27" s="3" t="s">
        <v>162</v>
      </c>
      <c r="S27" s="3" t="s">
        <v>163</v>
      </c>
      <c r="T27" s="3" t="s">
        <v>164</v>
      </c>
      <c r="U27" s="3" t="s">
        <v>165</v>
      </c>
      <c r="V27" s="3" t="s">
        <v>168</v>
      </c>
      <c r="W27" s="3" t="s">
        <v>166</v>
      </c>
      <c r="X27" s="3" t="s">
        <v>167</v>
      </c>
      <c r="Y27" s="40">
        <f t="shared" si="0"/>
        <v>4</v>
      </c>
      <c r="Z27" s="14" t="s">
        <v>162</v>
      </c>
      <c r="AA27" s="14">
        <v>40.233</v>
      </c>
      <c r="AB27" s="14">
        <v>28.94</v>
      </c>
      <c r="AC27" s="14">
        <v>316.802</v>
      </c>
      <c r="AD27" s="14">
        <v>4.064</v>
      </c>
      <c r="AE27" s="14">
        <v>6588.86</v>
      </c>
      <c r="AF27" s="14">
        <v>67.93</v>
      </c>
      <c r="AG27" s="14">
        <v>126.06</v>
      </c>
      <c r="AH27" s="28">
        <f t="shared" si="1"/>
        <v>4</v>
      </c>
      <c r="AI27" s="14" t="s">
        <v>162</v>
      </c>
      <c r="AJ27" s="14">
        <v>0</v>
      </c>
      <c r="AK27" s="14">
        <v>3e-6</v>
      </c>
      <c r="AL27" s="14">
        <v>0</v>
      </c>
      <c r="AM27" s="14">
        <v>0.999997</v>
      </c>
      <c r="AN27" s="14">
        <v>0</v>
      </c>
      <c r="AO27" s="14">
        <v>0</v>
      </c>
      <c r="AP27" s="14">
        <v>0</v>
      </c>
      <c r="AQ27" s="28">
        <f t="shared" si="2"/>
        <v>4</v>
      </c>
      <c r="AR27" s="14" t="s">
        <v>161</v>
      </c>
      <c r="AS27" s="14" t="s">
        <v>162</v>
      </c>
      <c r="AT27" s="14" t="s">
        <v>163</v>
      </c>
      <c r="AU27" s="14" t="s">
        <v>164</v>
      </c>
      <c r="AV27" s="14" t="s">
        <v>165</v>
      </c>
      <c r="AW27" s="14" t="s">
        <v>168</v>
      </c>
      <c r="AX27" s="14" t="s">
        <v>166</v>
      </c>
      <c r="AY27" s="14" t="s">
        <v>167</v>
      </c>
      <c r="AZ27" s="40">
        <f t="shared" si="3"/>
        <v>4</v>
      </c>
      <c r="BA27" s="14" t="s">
        <v>161</v>
      </c>
      <c r="BB27" s="14">
        <v>79.936</v>
      </c>
      <c r="BC27" s="14">
        <v>48.044</v>
      </c>
      <c r="BD27" s="14">
        <v>288.766</v>
      </c>
      <c r="BE27" s="14">
        <v>32.752</v>
      </c>
      <c r="BF27" s="14">
        <v>6115.372</v>
      </c>
      <c r="BG27" s="14">
        <v>126.198</v>
      </c>
      <c r="BH27" s="14">
        <v>151.98</v>
      </c>
      <c r="BI27" s="28">
        <f t="shared" si="4"/>
        <v>4</v>
      </c>
      <c r="BJ27" s="14" t="s">
        <v>161</v>
      </c>
      <c r="BK27" s="14">
        <v>0</v>
      </c>
      <c r="BL27" s="14">
        <v>0.000318</v>
      </c>
      <c r="BM27" s="14">
        <v>0</v>
      </c>
      <c r="BN27" s="14">
        <v>0.999682</v>
      </c>
      <c r="BO27" s="14">
        <v>0</v>
      </c>
      <c r="BP27" s="14">
        <v>0</v>
      </c>
      <c r="BQ27" s="14">
        <v>0</v>
      </c>
      <c r="BR27" s="28">
        <f t="shared" si="5"/>
        <v>4</v>
      </c>
      <c r="BS27" s="28">
        <f t="shared" si="6"/>
        <v>0</v>
      </c>
      <c r="BT27" s="28">
        <f t="shared" si="7"/>
        <v>0</v>
      </c>
      <c r="BU27" s="28">
        <f t="shared" si="8"/>
        <v>1</v>
      </c>
      <c r="BV27" s="28">
        <f t="shared" si="9"/>
        <v>1</v>
      </c>
      <c r="BW27" s="14">
        <v>1</v>
      </c>
      <c r="BX27" s="15">
        <v>1</v>
      </c>
    </row>
    <row r="28" spans="1:76">
      <c r="A28" s="36" t="s">
        <v>36</v>
      </c>
      <c r="B28" s="37">
        <v>-0.0368806768252343</v>
      </c>
      <c r="C28" s="37">
        <v>-0.571841914572131</v>
      </c>
      <c r="D28" s="37">
        <v>-1.27054975048736</v>
      </c>
      <c r="E28" s="37">
        <v>-0.523277195800478</v>
      </c>
      <c r="F28" s="37">
        <v>-0.0304945035266003</v>
      </c>
      <c r="G28" s="37">
        <v>-0.0734318137801974</v>
      </c>
      <c r="H28" s="37">
        <v>-0.22537185476163</v>
      </c>
      <c r="I28" s="37">
        <v>-0.189575323455279</v>
      </c>
      <c r="J28" s="37">
        <v>-0.180488927195246</v>
      </c>
      <c r="K28" s="7">
        <v>3</v>
      </c>
      <c r="L28" s="7">
        <v>7</v>
      </c>
      <c r="M28" s="7">
        <v>5</v>
      </c>
      <c r="N28" s="7">
        <v>1</v>
      </c>
      <c r="O28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2.34210872673526</v>
      </c>
      <c r="P28" s="39">
        <v>1</v>
      </c>
      <c r="Q28" s="3" t="s">
        <v>164</v>
      </c>
      <c r="R28" s="3" t="s">
        <v>164</v>
      </c>
      <c r="S28" s="3" t="s">
        <v>163</v>
      </c>
      <c r="T28" s="3" t="s">
        <v>162</v>
      </c>
      <c r="U28" s="3" t="s">
        <v>165</v>
      </c>
      <c r="V28" s="3" t="s">
        <v>168</v>
      </c>
      <c r="W28" s="3" t="s">
        <v>166</v>
      </c>
      <c r="X28" s="3" t="s">
        <v>167</v>
      </c>
      <c r="Y28" s="40">
        <f t="shared" si="0"/>
        <v>1</v>
      </c>
      <c r="Z28" s="14" t="s">
        <v>161</v>
      </c>
      <c r="AA28" s="14">
        <v>72.486</v>
      </c>
      <c r="AB28" s="14">
        <v>127.978</v>
      </c>
      <c r="AC28" s="14">
        <v>104.008</v>
      </c>
      <c r="AD28" s="14">
        <v>139.716</v>
      </c>
      <c r="AE28" s="14">
        <v>6086.278</v>
      </c>
      <c r="AF28" s="14">
        <v>150.172</v>
      </c>
      <c r="AG28" s="14">
        <v>173.907</v>
      </c>
      <c r="AH28" s="28">
        <f t="shared" si="1"/>
        <v>1</v>
      </c>
      <c r="AI28" s="14" t="s">
        <v>161</v>
      </c>
      <c r="AJ28" s="14">
        <v>1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28">
        <f t="shared" si="2"/>
        <v>1</v>
      </c>
      <c r="AR28" s="14" t="s">
        <v>164</v>
      </c>
      <c r="AS28" s="14" t="s">
        <v>164</v>
      </c>
      <c r="AT28" s="14" t="s">
        <v>163</v>
      </c>
      <c r="AU28" s="14" t="s">
        <v>162</v>
      </c>
      <c r="AV28" s="14" t="s">
        <v>165</v>
      </c>
      <c r="AW28" s="14" t="s">
        <v>168</v>
      </c>
      <c r="AX28" s="14" t="s">
        <v>166</v>
      </c>
      <c r="AY28" s="14" t="s">
        <v>167</v>
      </c>
      <c r="AZ28" s="40">
        <f t="shared" si="3"/>
        <v>1</v>
      </c>
      <c r="BA28" s="14" t="s">
        <v>164</v>
      </c>
      <c r="BB28" s="14">
        <v>5.415</v>
      </c>
      <c r="BC28" s="14">
        <v>22.889</v>
      </c>
      <c r="BD28" s="14">
        <v>161.849</v>
      </c>
      <c r="BE28" s="14">
        <v>25.827</v>
      </c>
      <c r="BF28" s="14">
        <v>6575.486</v>
      </c>
      <c r="BG28" s="14">
        <v>34.727</v>
      </c>
      <c r="BH28" s="14">
        <v>89.031</v>
      </c>
      <c r="BI28" s="28">
        <f t="shared" si="4"/>
        <v>1</v>
      </c>
      <c r="BJ28" s="14" t="s">
        <v>164</v>
      </c>
      <c r="BK28" s="14">
        <v>0.999913</v>
      </c>
      <c r="BL28" s="14">
        <v>6.4e-5</v>
      </c>
      <c r="BM28" s="14">
        <v>0</v>
      </c>
      <c r="BN28" s="14">
        <v>2.2e-5</v>
      </c>
      <c r="BO28" s="14">
        <v>0</v>
      </c>
      <c r="BP28" s="14">
        <v>0</v>
      </c>
      <c r="BQ28" s="14">
        <v>0</v>
      </c>
      <c r="BR28" s="28">
        <f t="shared" si="5"/>
        <v>1</v>
      </c>
      <c r="BS28" s="28">
        <f t="shared" si="6"/>
        <v>1</v>
      </c>
      <c r="BT28" s="28">
        <f t="shared" si="7"/>
        <v>1</v>
      </c>
      <c r="BU28" s="28">
        <f t="shared" si="8"/>
        <v>1</v>
      </c>
      <c r="BV28" s="28">
        <f t="shared" si="9"/>
        <v>1</v>
      </c>
      <c r="BW28" s="14">
        <v>6</v>
      </c>
      <c r="BX28" s="15">
        <v>4</v>
      </c>
    </row>
    <row r="29" spans="1:76">
      <c r="A29" s="34" t="s">
        <v>37</v>
      </c>
      <c r="B29" s="35">
        <v>-1.35334499630218</v>
      </c>
      <c r="C29" s="35">
        <v>0.0688336489718426</v>
      </c>
      <c r="D29" s="35">
        <v>-0.703706902639545</v>
      </c>
      <c r="E29" s="35">
        <v>-0.553128579453525</v>
      </c>
      <c r="F29" s="35">
        <v>-0.496146785916866</v>
      </c>
      <c r="G29" s="35">
        <v>2.43254690902945</v>
      </c>
      <c r="H29" s="35">
        <v>0.217719535061367</v>
      </c>
      <c r="I29" s="35">
        <v>-0.323269269579409</v>
      </c>
      <c r="J29" s="35">
        <v>-0.632217697541745</v>
      </c>
      <c r="K29" s="6">
        <v>5</v>
      </c>
      <c r="L29" s="6">
        <v>7</v>
      </c>
      <c r="M29" s="6">
        <v>2</v>
      </c>
      <c r="N29" s="6">
        <v>1</v>
      </c>
      <c r="O29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9.35248551196892</v>
      </c>
      <c r="P29" s="39"/>
      <c r="Q29" s="3" t="s">
        <v>161</v>
      </c>
      <c r="R29" s="3" t="s">
        <v>164</v>
      </c>
      <c r="S29" s="3" t="s">
        <v>166</v>
      </c>
      <c r="T29" s="3" t="s">
        <v>163</v>
      </c>
      <c r="U29" s="3" t="s">
        <v>162</v>
      </c>
      <c r="V29" s="3" t="s">
        <v>165</v>
      </c>
      <c r="W29" s="3" t="s">
        <v>168</v>
      </c>
      <c r="X29" s="3" t="s">
        <v>167</v>
      </c>
      <c r="Y29" s="40">
        <f t="shared" si="0"/>
        <v>1</v>
      </c>
      <c r="Z29" s="14" t="s">
        <v>164</v>
      </c>
      <c r="AA29" s="14">
        <v>8.228</v>
      </c>
      <c r="AB29" s="14">
        <v>12.659</v>
      </c>
      <c r="AC29" s="14">
        <v>262.24</v>
      </c>
      <c r="AD29" s="14">
        <v>27.618</v>
      </c>
      <c r="AE29" s="14">
        <v>6919.747</v>
      </c>
      <c r="AF29" s="14">
        <v>51.21</v>
      </c>
      <c r="AG29" s="14">
        <v>131.408</v>
      </c>
      <c r="AH29" s="28">
        <f t="shared" si="1"/>
        <v>1</v>
      </c>
      <c r="AI29" s="14" t="s">
        <v>164</v>
      </c>
      <c r="AJ29" s="14">
        <v>0.958149</v>
      </c>
      <c r="AK29" s="14">
        <v>0.041815</v>
      </c>
      <c r="AL29" s="14">
        <v>0</v>
      </c>
      <c r="AM29" s="14">
        <v>3.5e-5</v>
      </c>
      <c r="AN29" s="14">
        <v>0</v>
      </c>
      <c r="AO29" s="14">
        <v>0</v>
      </c>
      <c r="AP29" s="14">
        <v>0</v>
      </c>
      <c r="AQ29" s="28">
        <f t="shared" si="2"/>
        <v>1</v>
      </c>
      <c r="AR29" s="14" t="s">
        <v>161</v>
      </c>
      <c r="AS29" s="14" t="s">
        <v>164</v>
      </c>
      <c r="AT29" s="14" t="s">
        <v>166</v>
      </c>
      <c r="AU29" s="14" t="s">
        <v>163</v>
      </c>
      <c r="AV29" s="14" t="s">
        <v>165</v>
      </c>
      <c r="AW29" s="14" t="s">
        <v>162</v>
      </c>
      <c r="AX29" s="14" t="s">
        <v>168</v>
      </c>
      <c r="AY29" s="14" t="s">
        <v>167</v>
      </c>
      <c r="AZ29" s="40">
        <f t="shared" si="3"/>
        <v>1</v>
      </c>
      <c r="BA29" s="14" t="s">
        <v>161</v>
      </c>
      <c r="BB29" s="14">
        <v>68.549</v>
      </c>
      <c r="BC29" s="14">
        <v>121.863</v>
      </c>
      <c r="BD29" s="14">
        <v>86.777</v>
      </c>
      <c r="BE29" s="14">
        <v>131.166</v>
      </c>
      <c r="BF29" s="14">
        <v>5927.495</v>
      </c>
      <c r="BG29" s="14">
        <v>122.107</v>
      </c>
      <c r="BH29" s="14">
        <v>159.056</v>
      </c>
      <c r="BI29" s="28">
        <f t="shared" si="4"/>
        <v>1</v>
      </c>
      <c r="BJ29" s="14" t="s">
        <v>161</v>
      </c>
      <c r="BK29" s="14">
        <v>0.999978</v>
      </c>
      <c r="BL29" s="14">
        <v>0</v>
      </c>
      <c r="BM29" s="14">
        <v>2.2e-5</v>
      </c>
      <c r="BN29" s="14">
        <v>0</v>
      </c>
      <c r="BO29" s="14">
        <v>0</v>
      </c>
      <c r="BP29" s="14">
        <v>0</v>
      </c>
      <c r="BQ29" s="14">
        <v>0</v>
      </c>
      <c r="BR29" s="28">
        <f t="shared" si="5"/>
        <v>1</v>
      </c>
      <c r="BS29" s="28">
        <f t="shared" si="6"/>
        <v>0</v>
      </c>
      <c r="BT29" s="28">
        <f t="shared" si="7"/>
        <v>0</v>
      </c>
      <c r="BU29" s="28">
        <f t="shared" si="8"/>
        <v>1</v>
      </c>
      <c r="BV29" s="28">
        <f t="shared" si="9"/>
        <v>1</v>
      </c>
      <c r="BW29" s="14">
        <v>2</v>
      </c>
      <c r="BX29" s="15">
        <v>3</v>
      </c>
    </row>
    <row r="30" spans="1:76">
      <c r="A30" s="36" t="s">
        <v>38</v>
      </c>
      <c r="B30" s="37">
        <v>-0.288389434985009</v>
      </c>
      <c r="C30" s="37">
        <v>-0.360236322309625</v>
      </c>
      <c r="D30" s="37">
        <v>-1.05896537859307</v>
      </c>
      <c r="E30" s="37">
        <v>-0.374020277535241</v>
      </c>
      <c r="F30" s="37">
        <v>-0.323737554778698</v>
      </c>
      <c r="G30" s="37">
        <v>-0.111465217667697</v>
      </c>
      <c r="H30" s="37">
        <v>0.176751891064303</v>
      </c>
      <c r="I30" s="37">
        <v>-0.246670764067797</v>
      </c>
      <c r="J30" s="37">
        <v>1.33822320036984</v>
      </c>
      <c r="K30" s="7">
        <v>3</v>
      </c>
      <c r="L30" s="7">
        <v>7</v>
      </c>
      <c r="M30" s="7">
        <v>4</v>
      </c>
      <c r="N30" s="7">
        <v>4</v>
      </c>
      <c r="O30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3.47439704516094</v>
      </c>
      <c r="P30" s="39">
        <v>4</v>
      </c>
      <c r="Q30" s="3" t="s">
        <v>162</v>
      </c>
      <c r="R30" s="3" t="s">
        <v>162</v>
      </c>
      <c r="S30" s="3" t="s">
        <v>164</v>
      </c>
      <c r="T30" s="3" t="s">
        <v>163</v>
      </c>
      <c r="U30" s="3" t="s">
        <v>165</v>
      </c>
      <c r="V30" s="3" t="s">
        <v>168</v>
      </c>
      <c r="W30" s="3" t="s">
        <v>166</v>
      </c>
      <c r="X30" s="3" t="s">
        <v>167</v>
      </c>
      <c r="Y30" s="40">
        <f t="shared" si="0"/>
        <v>4</v>
      </c>
      <c r="Z30" s="14" t="s">
        <v>161</v>
      </c>
      <c r="AA30" s="14">
        <v>83.467</v>
      </c>
      <c r="AB30" s="14">
        <v>50.064</v>
      </c>
      <c r="AC30" s="14">
        <v>347.748</v>
      </c>
      <c r="AD30" s="14">
        <v>33.586</v>
      </c>
      <c r="AE30" s="14">
        <v>6218.689</v>
      </c>
      <c r="AF30" s="14">
        <v>128.594</v>
      </c>
      <c r="AG30" s="14">
        <v>153.615</v>
      </c>
      <c r="AH30" s="28">
        <f t="shared" si="1"/>
        <v>4</v>
      </c>
      <c r="AI30" s="14" t="s">
        <v>161</v>
      </c>
      <c r="AJ30" s="14">
        <v>0</v>
      </c>
      <c r="AK30" s="14">
        <v>0.000176</v>
      </c>
      <c r="AL30" s="14">
        <v>0</v>
      </c>
      <c r="AM30" s="14">
        <v>0.999824</v>
      </c>
      <c r="AN30" s="14">
        <v>0</v>
      </c>
      <c r="AO30" s="14">
        <v>0</v>
      </c>
      <c r="AP30" s="14">
        <v>0</v>
      </c>
      <c r="AQ30" s="28">
        <f t="shared" si="2"/>
        <v>4</v>
      </c>
      <c r="AR30" s="14" t="s">
        <v>162</v>
      </c>
      <c r="AS30" s="14" t="s">
        <v>162</v>
      </c>
      <c r="AT30" s="14" t="s">
        <v>164</v>
      </c>
      <c r="AU30" s="14" t="s">
        <v>163</v>
      </c>
      <c r="AV30" s="14" t="s">
        <v>165</v>
      </c>
      <c r="AW30" s="14" t="s">
        <v>168</v>
      </c>
      <c r="AX30" s="14" t="s">
        <v>166</v>
      </c>
      <c r="AY30" s="14" t="s">
        <v>167</v>
      </c>
      <c r="AZ30" s="40">
        <f t="shared" si="3"/>
        <v>4</v>
      </c>
      <c r="BA30" s="14" t="s">
        <v>162</v>
      </c>
      <c r="BB30" s="14">
        <v>29.441</v>
      </c>
      <c r="BC30" s="14">
        <v>30.878</v>
      </c>
      <c r="BD30" s="14">
        <v>224.164</v>
      </c>
      <c r="BE30" s="14">
        <v>6.752</v>
      </c>
      <c r="BF30" s="14">
        <v>6384.948</v>
      </c>
      <c r="BG30" s="14">
        <v>33.82</v>
      </c>
      <c r="BH30" s="14">
        <v>138.486</v>
      </c>
      <c r="BI30" s="28">
        <f t="shared" si="4"/>
        <v>4</v>
      </c>
      <c r="BJ30" s="14" t="s">
        <v>162</v>
      </c>
      <c r="BK30" s="14">
        <v>2e-5</v>
      </c>
      <c r="BL30" s="14">
        <v>4e-6</v>
      </c>
      <c r="BM30" s="14">
        <v>0</v>
      </c>
      <c r="BN30" s="14">
        <v>0.999976</v>
      </c>
      <c r="BO30" s="14">
        <v>0</v>
      </c>
      <c r="BP30" s="14">
        <v>1e-6</v>
      </c>
      <c r="BQ30" s="14">
        <v>0</v>
      </c>
      <c r="BR30" s="28">
        <f t="shared" si="5"/>
        <v>4</v>
      </c>
      <c r="BS30" s="28">
        <f t="shared" si="6"/>
        <v>1</v>
      </c>
      <c r="BT30" s="28">
        <f t="shared" si="7"/>
        <v>1</v>
      </c>
      <c r="BU30" s="28">
        <f t="shared" si="8"/>
        <v>1</v>
      </c>
      <c r="BV30" s="28">
        <f t="shared" si="9"/>
        <v>1</v>
      </c>
      <c r="BW30" s="14">
        <v>6</v>
      </c>
      <c r="BX30" s="15">
        <v>4</v>
      </c>
    </row>
    <row r="31" spans="1:76">
      <c r="A31" s="34" t="s">
        <v>39</v>
      </c>
      <c r="B31" s="35">
        <v>1.39997491930941</v>
      </c>
      <c r="C31" s="35">
        <v>2.64118566957013</v>
      </c>
      <c r="D31" s="35">
        <v>-0.538781966468665</v>
      </c>
      <c r="E31" s="35">
        <v>-0.224763359270004</v>
      </c>
      <c r="F31" s="35">
        <v>-0.0290209203544792</v>
      </c>
      <c r="G31" s="35">
        <v>-0.998911308376005</v>
      </c>
      <c r="H31" s="35">
        <v>1.7235665388529</v>
      </c>
      <c r="I31" s="35">
        <v>1.61358616900668</v>
      </c>
      <c r="J31" s="35">
        <v>0.667869563347643</v>
      </c>
      <c r="K31" s="6">
        <v>4</v>
      </c>
      <c r="L31" s="6">
        <v>6</v>
      </c>
      <c r="M31" s="6">
        <v>6</v>
      </c>
      <c r="N31" s="6">
        <v>6</v>
      </c>
      <c r="O31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16.295653799029</v>
      </c>
      <c r="P31" s="39"/>
      <c r="Q31" s="3" t="s">
        <v>161</v>
      </c>
      <c r="R31" s="3" t="s">
        <v>166</v>
      </c>
      <c r="S31" s="3" t="s">
        <v>162</v>
      </c>
      <c r="T31" s="3" t="s">
        <v>168</v>
      </c>
      <c r="U31" s="3" t="s">
        <v>165</v>
      </c>
      <c r="V31" s="3" t="s">
        <v>164</v>
      </c>
      <c r="W31" s="3" t="s">
        <v>163</v>
      </c>
      <c r="X31" s="3" t="s">
        <v>167</v>
      </c>
      <c r="Y31" s="40">
        <f t="shared" si="0"/>
        <v>3</v>
      </c>
      <c r="Z31" s="14" t="s">
        <v>161</v>
      </c>
      <c r="AA31" s="14">
        <v>194.993</v>
      </c>
      <c r="AB31" s="14">
        <v>180.054</v>
      </c>
      <c r="AC31" s="14">
        <v>391.354</v>
      </c>
      <c r="AD31" s="14">
        <v>167.039</v>
      </c>
      <c r="AE31" s="14">
        <v>5999.758</v>
      </c>
      <c r="AF31" s="14">
        <v>68</v>
      </c>
      <c r="AG31" s="14">
        <v>251.269</v>
      </c>
      <c r="AH31" s="28">
        <f t="shared" si="1"/>
        <v>6</v>
      </c>
      <c r="AI31" s="14" t="s">
        <v>161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1</v>
      </c>
      <c r="AP31" s="14">
        <v>0</v>
      </c>
      <c r="AQ31" s="28">
        <f t="shared" si="2"/>
        <v>6</v>
      </c>
      <c r="AR31" s="14" t="s">
        <v>161</v>
      </c>
      <c r="AS31" s="14" t="s">
        <v>166</v>
      </c>
      <c r="AT31" s="14" t="s">
        <v>164</v>
      </c>
      <c r="AU31" s="14" t="s">
        <v>163</v>
      </c>
      <c r="AV31" s="14" t="s">
        <v>162</v>
      </c>
      <c r="AW31" s="14" t="s">
        <v>167</v>
      </c>
      <c r="AX31" s="14" t="s">
        <v>165</v>
      </c>
      <c r="AY31" s="14" t="s">
        <v>168</v>
      </c>
      <c r="AZ31" s="40">
        <f t="shared" si="3"/>
        <v>3</v>
      </c>
      <c r="BA31" s="14" t="s">
        <v>161</v>
      </c>
      <c r="BB31" s="14">
        <v>595.779</v>
      </c>
      <c r="BC31" s="14">
        <v>613.849</v>
      </c>
      <c r="BD31" s="14">
        <v>391.088</v>
      </c>
      <c r="BE31" s="14">
        <v>545.279</v>
      </c>
      <c r="BF31" s="14">
        <v>3375.593</v>
      </c>
      <c r="BG31" s="14">
        <v>571.838</v>
      </c>
      <c r="BH31" s="14">
        <v>547.119</v>
      </c>
      <c r="BI31" s="28">
        <f t="shared" si="4"/>
        <v>3</v>
      </c>
      <c r="BJ31" s="14" t="s">
        <v>161</v>
      </c>
      <c r="BK31" s="14">
        <v>0</v>
      </c>
      <c r="BL31" s="14">
        <v>0</v>
      </c>
      <c r="BM31" s="14">
        <v>1</v>
      </c>
      <c r="BN31" s="14">
        <v>0</v>
      </c>
      <c r="BO31" s="14">
        <v>0</v>
      </c>
      <c r="BP31" s="14">
        <v>0</v>
      </c>
      <c r="BQ31" s="14">
        <v>0</v>
      </c>
      <c r="BR31" s="28">
        <f t="shared" si="5"/>
        <v>3</v>
      </c>
      <c r="BS31" s="28">
        <f t="shared" si="6"/>
        <v>0</v>
      </c>
      <c r="BT31" s="28">
        <f t="shared" si="7"/>
        <v>0</v>
      </c>
      <c r="BU31" s="28">
        <f t="shared" si="8"/>
        <v>0</v>
      </c>
      <c r="BV31" s="28">
        <f t="shared" si="9"/>
        <v>0</v>
      </c>
      <c r="BW31" s="14">
        <v>4</v>
      </c>
      <c r="BX31" s="15">
        <v>6</v>
      </c>
    </row>
    <row r="32" spans="1:76">
      <c r="A32" s="36" t="s">
        <v>40</v>
      </c>
      <c r="B32" s="37">
        <v>0.251043886179896</v>
      </c>
      <c r="C32" s="37">
        <v>0.291812180232171</v>
      </c>
      <c r="D32" s="37">
        <v>-0.819200555420274</v>
      </c>
      <c r="E32" s="37">
        <v>-0.403871661188289</v>
      </c>
      <c r="F32" s="37">
        <v>-0.802652085718053</v>
      </c>
      <c r="G32" s="37">
        <v>1.10560370673227</v>
      </c>
      <c r="H32" s="37">
        <v>1.40200486390388</v>
      </c>
      <c r="I32" s="37">
        <v>-0.378038306833725</v>
      </c>
      <c r="J32" s="37">
        <v>-1.9723593207945</v>
      </c>
      <c r="K32" s="7">
        <v>5</v>
      </c>
      <c r="L32" s="7">
        <v>7</v>
      </c>
      <c r="M32" s="7">
        <v>2</v>
      </c>
      <c r="N32" s="7">
        <v>1</v>
      </c>
      <c r="O32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8.84772106724851</v>
      </c>
      <c r="P32" s="39"/>
      <c r="Q32" s="3" t="s">
        <v>161</v>
      </c>
      <c r="R32" s="3" t="s">
        <v>165</v>
      </c>
      <c r="S32" s="3" t="s">
        <v>164</v>
      </c>
      <c r="T32" s="3" t="s">
        <v>163</v>
      </c>
      <c r="U32" s="3" t="s">
        <v>162</v>
      </c>
      <c r="V32" s="3" t="s">
        <v>166</v>
      </c>
      <c r="W32" s="3" t="s">
        <v>168</v>
      </c>
      <c r="X32" s="3" t="s">
        <v>167</v>
      </c>
      <c r="Y32" s="40">
        <f t="shared" si="0"/>
        <v>6</v>
      </c>
      <c r="Z32" s="14" t="s">
        <v>164</v>
      </c>
      <c r="AA32" s="14">
        <v>4.775</v>
      </c>
      <c r="AB32" s="14">
        <v>13.095</v>
      </c>
      <c r="AC32" s="14">
        <v>187.892</v>
      </c>
      <c r="AD32" s="14">
        <v>34.086</v>
      </c>
      <c r="AE32" s="14">
        <v>6774.825</v>
      </c>
      <c r="AF32" s="14">
        <v>70.439</v>
      </c>
      <c r="AG32" s="14">
        <v>82.286</v>
      </c>
      <c r="AH32" s="28">
        <f t="shared" si="1"/>
        <v>1</v>
      </c>
      <c r="AI32" s="14" t="s">
        <v>164</v>
      </c>
      <c r="AJ32" s="14">
        <v>0.993796</v>
      </c>
      <c r="AK32" s="14">
        <v>0.006204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28">
        <f t="shared" si="2"/>
        <v>1</v>
      </c>
      <c r="AR32" s="14" t="s">
        <v>161</v>
      </c>
      <c r="AS32" s="14" t="s">
        <v>165</v>
      </c>
      <c r="AT32" s="14" t="s">
        <v>164</v>
      </c>
      <c r="AU32" s="14" t="s">
        <v>163</v>
      </c>
      <c r="AV32" s="14" t="s">
        <v>166</v>
      </c>
      <c r="AW32" s="14" t="s">
        <v>162</v>
      </c>
      <c r="AX32" s="14" t="s">
        <v>168</v>
      </c>
      <c r="AY32" s="14" t="s">
        <v>167</v>
      </c>
      <c r="AZ32" s="40">
        <f t="shared" si="3"/>
        <v>6</v>
      </c>
      <c r="BA32" s="14" t="s">
        <v>161</v>
      </c>
      <c r="BB32" s="14">
        <v>77.565</v>
      </c>
      <c r="BC32" s="14">
        <v>116.3</v>
      </c>
      <c r="BD32" s="14">
        <v>134.744</v>
      </c>
      <c r="BE32" s="14">
        <v>159.134</v>
      </c>
      <c r="BF32" s="14">
        <v>6604.713</v>
      </c>
      <c r="BG32" s="14">
        <v>63.585</v>
      </c>
      <c r="BH32" s="14">
        <v>173.48</v>
      </c>
      <c r="BI32" s="28">
        <f t="shared" si="4"/>
        <v>6</v>
      </c>
      <c r="BJ32" s="14" t="s">
        <v>161</v>
      </c>
      <c r="BK32" s="14">
        <v>0.003061</v>
      </c>
      <c r="BL32" s="14">
        <v>0</v>
      </c>
      <c r="BM32" s="14">
        <v>0</v>
      </c>
      <c r="BN32" s="14">
        <v>0</v>
      </c>
      <c r="BO32" s="14">
        <v>0</v>
      </c>
      <c r="BP32" s="14">
        <v>0.996939</v>
      </c>
      <c r="BQ32" s="14">
        <v>0</v>
      </c>
      <c r="BR32" s="28">
        <f t="shared" si="5"/>
        <v>6</v>
      </c>
      <c r="BS32" s="28">
        <f t="shared" si="6"/>
        <v>0</v>
      </c>
      <c r="BT32" s="28">
        <f t="shared" si="7"/>
        <v>0</v>
      </c>
      <c r="BU32" s="28">
        <f t="shared" si="8"/>
        <v>0</v>
      </c>
      <c r="BV32" s="28">
        <f t="shared" si="9"/>
        <v>0</v>
      </c>
      <c r="BW32" s="14">
        <v>6</v>
      </c>
      <c r="BX32" s="15">
        <v>4</v>
      </c>
    </row>
    <row r="33" spans="1:76">
      <c r="A33" s="34" t="s">
        <v>41</v>
      </c>
      <c r="B33" s="35">
        <v>0.803307102998243</v>
      </c>
      <c r="C33" s="35">
        <v>1.86610264514281</v>
      </c>
      <c r="D33" s="35">
        <v>0.669743616228875</v>
      </c>
      <c r="E33" s="35">
        <v>-0.344168893882194</v>
      </c>
      <c r="F33" s="35">
        <v>-0.846859580881686</v>
      </c>
      <c r="G33" s="35">
        <v>-1.20175612910933</v>
      </c>
      <c r="H33" s="35">
        <v>1.67996689538116</v>
      </c>
      <c r="I33" s="35">
        <v>-0.0397997329056412</v>
      </c>
      <c r="J33" s="35">
        <v>-0.93253232118595</v>
      </c>
      <c r="K33" s="6">
        <v>4</v>
      </c>
      <c r="L33" s="6">
        <v>6</v>
      </c>
      <c r="M33" s="6">
        <v>6</v>
      </c>
      <c r="N33" s="6">
        <v>6</v>
      </c>
      <c r="O33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10.5495283848872</v>
      </c>
      <c r="P33" s="39">
        <v>6</v>
      </c>
      <c r="Q33" s="3" t="s">
        <v>165</v>
      </c>
      <c r="R33" s="3" t="s">
        <v>165</v>
      </c>
      <c r="S33" s="3" t="s">
        <v>163</v>
      </c>
      <c r="T33" s="3" t="s">
        <v>164</v>
      </c>
      <c r="U33" s="3" t="s">
        <v>162</v>
      </c>
      <c r="V33" s="3" t="s">
        <v>166</v>
      </c>
      <c r="W33" s="3" t="s">
        <v>167</v>
      </c>
      <c r="X33" s="3" t="s">
        <v>168</v>
      </c>
      <c r="Y33" s="40">
        <f t="shared" si="0"/>
        <v>6</v>
      </c>
      <c r="Z33" s="14" t="s">
        <v>161</v>
      </c>
      <c r="AA33" s="14">
        <v>165.156</v>
      </c>
      <c r="AB33" s="14">
        <v>161.607</v>
      </c>
      <c r="AC33" s="14">
        <v>367.868</v>
      </c>
      <c r="AD33" s="14">
        <v>151.676</v>
      </c>
      <c r="AE33" s="14">
        <v>5671.966</v>
      </c>
      <c r="AF33" s="14">
        <v>107.722</v>
      </c>
      <c r="AG33" s="14">
        <v>132.07</v>
      </c>
      <c r="AH33" s="28">
        <f t="shared" si="1"/>
        <v>6</v>
      </c>
      <c r="AI33" s="14" t="s">
        <v>161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0.999997</v>
      </c>
      <c r="AP33" s="14">
        <v>3e-6</v>
      </c>
      <c r="AQ33" s="28">
        <f t="shared" si="2"/>
        <v>6</v>
      </c>
      <c r="AR33" s="14" t="s">
        <v>165</v>
      </c>
      <c r="AS33" s="14" t="s">
        <v>165</v>
      </c>
      <c r="AT33" s="14" t="s">
        <v>163</v>
      </c>
      <c r="AU33" s="14" t="s">
        <v>164</v>
      </c>
      <c r="AV33" s="14" t="s">
        <v>162</v>
      </c>
      <c r="AW33" s="14" t="s">
        <v>166</v>
      </c>
      <c r="AX33" s="14" t="s">
        <v>167</v>
      </c>
      <c r="AY33" s="14" t="s">
        <v>168</v>
      </c>
      <c r="AZ33" s="40">
        <f t="shared" si="3"/>
        <v>6</v>
      </c>
      <c r="BA33" s="14" t="s">
        <v>165</v>
      </c>
      <c r="BB33" s="14">
        <v>63.352</v>
      </c>
      <c r="BC33" s="14">
        <v>46.67</v>
      </c>
      <c r="BD33" s="14">
        <v>239.982</v>
      </c>
      <c r="BE33" s="14">
        <v>73.097</v>
      </c>
      <c r="BF33" s="14">
        <v>6562.258</v>
      </c>
      <c r="BG33" s="14">
        <v>5.599</v>
      </c>
      <c r="BH33" s="14">
        <v>156.775</v>
      </c>
      <c r="BI33" s="28">
        <f t="shared" si="4"/>
        <v>6</v>
      </c>
      <c r="BJ33" s="14" t="s">
        <v>165</v>
      </c>
      <c r="BK33" s="14">
        <v>0</v>
      </c>
      <c r="BL33" s="14">
        <v>0</v>
      </c>
      <c r="BM33" s="14">
        <v>0</v>
      </c>
      <c r="BN33" s="14">
        <v>0</v>
      </c>
      <c r="BO33" s="14">
        <v>0</v>
      </c>
      <c r="BP33" s="14">
        <v>1</v>
      </c>
      <c r="BQ33" s="14">
        <v>0</v>
      </c>
      <c r="BR33" s="28">
        <f t="shared" si="5"/>
        <v>6</v>
      </c>
      <c r="BS33" s="28">
        <f t="shared" si="6"/>
        <v>1</v>
      </c>
      <c r="BT33" s="28">
        <f t="shared" si="7"/>
        <v>1</v>
      </c>
      <c r="BU33" s="28">
        <f t="shared" si="8"/>
        <v>1</v>
      </c>
      <c r="BV33" s="28">
        <f t="shared" si="9"/>
        <v>1</v>
      </c>
      <c r="BW33" s="14">
        <v>4</v>
      </c>
      <c r="BX33" s="15">
        <v>6</v>
      </c>
    </row>
    <row r="34" spans="1:76">
      <c r="A34" s="36" t="s">
        <v>42</v>
      </c>
      <c r="B34" s="37">
        <v>-0.632723162470621</v>
      </c>
      <c r="C34" s="37">
        <v>2.8727800637076</v>
      </c>
      <c r="D34" s="37">
        <v>2.44418809755199</v>
      </c>
      <c r="E34" s="37">
        <v>1.29765720703541</v>
      </c>
      <c r="F34" s="37">
        <v>-0.102700078960534</v>
      </c>
      <c r="G34" s="37">
        <v>0.412550569226733</v>
      </c>
      <c r="H34" s="37">
        <v>1.16752804113856</v>
      </c>
      <c r="I34" s="37">
        <v>5.4273190417987</v>
      </c>
      <c r="J34" s="37">
        <v>2.64771512485809</v>
      </c>
      <c r="K34" s="7">
        <v>7</v>
      </c>
      <c r="L34" s="7">
        <v>3</v>
      </c>
      <c r="M34" s="7">
        <v>3</v>
      </c>
      <c r="N34" s="7">
        <v>5</v>
      </c>
      <c r="O34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54.3212279470542</v>
      </c>
      <c r="P34" s="39">
        <v>5</v>
      </c>
      <c r="Q34" s="3" t="s">
        <v>167</v>
      </c>
      <c r="R34" s="3" t="s">
        <v>167</v>
      </c>
      <c r="S34" s="3" t="s">
        <v>164</v>
      </c>
      <c r="T34" s="3" t="s">
        <v>163</v>
      </c>
      <c r="U34" s="3" t="s">
        <v>166</v>
      </c>
      <c r="V34" s="3" t="s">
        <v>162</v>
      </c>
      <c r="W34" s="3" t="s">
        <v>165</v>
      </c>
      <c r="X34" s="3" t="s">
        <v>168</v>
      </c>
      <c r="Y34" s="40">
        <f t="shared" si="0"/>
        <v>5</v>
      </c>
      <c r="Z34" s="14" t="s">
        <v>167</v>
      </c>
      <c r="AA34" s="14">
        <v>6655.509</v>
      </c>
      <c r="AB34" s="14">
        <v>6708.611</v>
      </c>
      <c r="AC34" s="14">
        <v>5567.061</v>
      </c>
      <c r="AD34" s="14">
        <v>6481.143</v>
      </c>
      <c r="AE34" s="14">
        <v>10.632</v>
      </c>
      <c r="AF34" s="14">
        <v>6728.422</v>
      </c>
      <c r="AG34" s="14">
        <v>6216.093</v>
      </c>
      <c r="AH34" s="28">
        <f t="shared" si="1"/>
        <v>5</v>
      </c>
      <c r="AI34" s="14" t="s">
        <v>167</v>
      </c>
      <c r="AJ34" s="14">
        <v>0</v>
      </c>
      <c r="AK34" s="14">
        <v>0</v>
      </c>
      <c r="AL34" s="14">
        <v>0</v>
      </c>
      <c r="AM34" s="14">
        <v>0</v>
      </c>
      <c r="AN34" s="14">
        <v>1</v>
      </c>
      <c r="AO34" s="14">
        <v>0</v>
      </c>
      <c r="AP34" s="14">
        <v>0</v>
      </c>
      <c r="AQ34" s="28">
        <f t="shared" si="2"/>
        <v>5</v>
      </c>
      <c r="AR34" s="14" t="s">
        <v>167</v>
      </c>
      <c r="AS34" s="14" t="s">
        <v>167</v>
      </c>
      <c r="AT34" s="14" t="s">
        <v>164</v>
      </c>
      <c r="AU34" s="14" t="s">
        <v>163</v>
      </c>
      <c r="AV34" s="14" t="s">
        <v>166</v>
      </c>
      <c r="AW34" s="14" t="s">
        <v>162</v>
      </c>
      <c r="AX34" s="14" t="s">
        <v>165</v>
      </c>
      <c r="AY34" s="14" t="s">
        <v>168</v>
      </c>
      <c r="AZ34" s="40">
        <f t="shared" si="3"/>
        <v>5</v>
      </c>
      <c r="BA34" s="14" t="s">
        <v>167</v>
      </c>
      <c r="BB34" s="14">
        <v>6540.325</v>
      </c>
      <c r="BC34" s="14">
        <v>6601.294</v>
      </c>
      <c r="BD34" s="14">
        <v>5372.5</v>
      </c>
      <c r="BE34" s="14">
        <v>6372.427</v>
      </c>
      <c r="BF34" s="14">
        <v>10.525</v>
      </c>
      <c r="BG34" s="14">
        <v>6634.122</v>
      </c>
      <c r="BH34" s="14">
        <v>6136.912</v>
      </c>
      <c r="BI34" s="28">
        <f t="shared" si="4"/>
        <v>5</v>
      </c>
      <c r="BJ34" s="14" t="s">
        <v>167</v>
      </c>
      <c r="BK34" s="14">
        <v>0</v>
      </c>
      <c r="BL34" s="14">
        <v>0</v>
      </c>
      <c r="BM34" s="14">
        <v>0</v>
      </c>
      <c r="BN34" s="14">
        <v>0</v>
      </c>
      <c r="BO34" s="14">
        <v>1</v>
      </c>
      <c r="BP34" s="14">
        <v>0</v>
      </c>
      <c r="BQ34" s="14">
        <v>0</v>
      </c>
      <c r="BR34" s="28">
        <f t="shared" si="5"/>
        <v>5</v>
      </c>
      <c r="BS34" s="28">
        <f t="shared" si="6"/>
        <v>1</v>
      </c>
      <c r="BT34" s="28">
        <f t="shared" si="7"/>
        <v>1</v>
      </c>
      <c r="BU34" s="28">
        <f t="shared" si="8"/>
        <v>1</v>
      </c>
      <c r="BV34" s="28">
        <f t="shared" si="9"/>
        <v>1</v>
      </c>
      <c r="BW34" s="14">
        <v>3</v>
      </c>
      <c r="BX34" s="15">
        <v>2</v>
      </c>
    </row>
    <row r="35" spans="1:76">
      <c r="A35" s="34" t="s">
        <v>43</v>
      </c>
      <c r="B35" s="35">
        <v>-0.098087906417623</v>
      </c>
      <c r="C35" s="35">
        <v>-0.147252191986776</v>
      </c>
      <c r="D35" s="35">
        <v>0.854071486066918</v>
      </c>
      <c r="E35" s="35">
        <v>-0.314317510229146</v>
      </c>
      <c r="F35" s="35">
        <v>-0.384154464835663</v>
      </c>
      <c r="G35" s="35">
        <v>-0.635481004562127</v>
      </c>
      <c r="H35" s="35">
        <v>0.47679983117688</v>
      </c>
      <c r="I35" s="35">
        <v>-0.330977031869776</v>
      </c>
      <c r="J35" s="35">
        <v>-0.340367513656904</v>
      </c>
      <c r="K35" s="6">
        <v>3</v>
      </c>
      <c r="L35" s="6">
        <v>7</v>
      </c>
      <c r="M35" s="6">
        <v>5</v>
      </c>
      <c r="N35" s="6">
        <v>2</v>
      </c>
      <c r="O35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1.86368272498054</v>
      </c>
      <c r="P35" s="39">
        <v>2</v>
      </c>
      <c r="Q35" s="3" t="s">
        <v>163</v>
      </c>
      <c r="R35" s="3" t="s">
        <v>163</v>
      </c>
      <c r="S35" s="3" t="s">
        <v>164</v>
      </c>
      <c r="T35" s="3" t="s">
        <v>165</v>
      </c>
      <c r="U35" s="3" t="s">
        <v>162</v>
      </c>
      <c r="V35" s="3" t="s">
        <v>168</v>
      </c>
      <c r="W35" s="3" t="s">
        <v>166</v>
      </c>
      <c r="X35" s="3" t="s">
        <v>167</v>
      </c>
      <c r="Y35" s="40">
        <f t="shared" si="0"/>
        <v>2</v>
      </c>
      <c r="Z35" s="14" t="s">
        <v>161</v>
      </c>
      <c r="AA35" s="14">
        <v>64.937</v>
      </c>
      <c r="AB35" s="14">
        <v>28.617</v>
      </c>
      <c r="AC35" s="14">
        <v>418.718</v>
      </c>
      <c r="AD35" s="14">
        <v>28.691</v>
      </c>
      <c r="AE35" s="14">
        <v>6989.884</v>
      </c>
      <c r="AF35" s="14">
        <v>95.377</v>
      </c>
      <c r="AG35" s="14">
        <v>185.062</v>
      </c>
      <c r="AH35" s="28">
        <f t="shared" si="1"/>
        <v>2</v>
      </c>
      <c r="AI35" s="14" t="s">
        <v>161</v>
      </c>
      <c r="AJ35" s="14">
        <v>0</v>
      </c>
      <c r="AK35" s="14">
        <v>0.408989</v>
      </c>
      <c r="AL35" s="14">
        <v>0</v>
      </c>
      <c r="AM35" s="14">
        <v>0.591011</v>
      </c>
      <c r="AN35" s="14">
        <v>0</v>
      </c>
      <c r="AO35" s="14">
        <v>0</v>
      </c>
      <c r="AP35" s="14">
        <v>0</v>
      </c>
      <c r="AQ35" s="28">
        <f t="shared" si="2"/>
        <v>4</v>
      </c>
      <c r="AR35" s="14" t="s">
        <v>163</v>
      </c>
      <c r="AS35" s="14" t="s">
        <v>163</v>
      </c>
      <c r="AT35" s="14" t="s">
        <v>165</v>
      </c>
      <c r="AU35" s="14" t="s">
        <v>164</v>
      </c>
      <c r="AV35" s="14" t="s">
        <v>162</v>
      </c>
      <c r="AW35" s="14" t="s">
        <v>168</v>
      </c>
      <c r="AX35" s="14" t="s">
        <v>166</v>
      </c>
      <c r="AY35" s="14" t="s">
        <v>167</v>
      </c>
      <c r="AZ35" s="40">
        <f t="shared" si="3"/>
        <v>2</v>
      </c>
      <c r="BA35" s="14" t="s">
        <v>163</v>
      </c>
      <c r="BB35" s="14">
        <v>20.623</v>
      </c>
      <c r="BC35" s="14">
        <v>6.466</v>
      </c>
      <c r="BD35" s="14">
        <v>248.672</v>
      </c>
      <c r="BE35" s="14">
        <v>31.256</v>
      </c>
      <c r="BF35" s="14">
        <v>6874.964</v>
      </c>
      <c r="BG35" s="14">
        <v>16.497</v>
      </c>
      <c r="BH35" s="14">
        <v>116.072</v>
      </c>
      <c r="BI35" s="28">
        <f t="shared" si="4"/>
        <v>2</v>
      </c>
      <c r="BJ35" s="14" t="s">
        <v>163</v>
      </c>
      <c r="BK35" s="14">
        <v>0.002093</v>
      </c>
      <c r="BL35" s="14">
        <v>0.992961</v>
      </c>
      <c r="BM35" s="14">
        <v>0</v>
      </c>
      <c r="BN35" s="14">
        <v>6e-6</v>
      </c>
      <c r="BO35" s="14">
        <v>0</v>
      </c>
      <c r="BP35" s="14">
        <v>0.00494</v>
      </c>
      <c r="BQ35" s="14">
        <v>0</v>
      </c>
      <c r="BR35" s="28">
        <f t="shared" si="5"/>
        <v>2</v>
      </c>
      <c r="BS35" s="28">
        <f t="shared" si="6"/>
        <v>1</v>
      </c>
      <c r="BT35" s="28">
        <f t="shared" si="7"/>
        <v>1</v>
      </c>
      <c r="BU35" s="28">
        <f t="shared" si="8"/>
        <v>1</v>
      </c>
      <c r="BV35" s="28">
        <f t="shared" si="9"/>
        <v>1</v>
      </c>
      <c r="BW35" s="14">
        <v>1</v>
      </c>
      <c r="BX35" s="15">
        <v>1</v>
      </c>
    </row>
    <row r="36" spans="1:76">
      <c r="A36" s="36" t="s">
        <v>44</v>
      </c>
      <c r="B36" s="37">
        <v>0.139500814411641</v>
      </c>
      <c r="C36" s="37">
        <v>-0.145184384896263</v>
      </c>
      <c r="D36" s="37">
        <v>-0.0107449859551756</v>
      </c>
      <c r="E36" s="37">
        <v>-0.433723044841336</v>
      </c>
      <c r="F36" s="37">
        <v>-0.388575214352026</v>
      </c>
      <c r="G36" s="37">
        <v>-0.0861096150760308</v>
      </c>
      <c r="H36" s="37">
        <v>-0.213127335466418</v>
      </c>
      <c r="I36" s="37">
        <v>-0.077187029306091</v>
      </c>
      <c r="J36" s="37">
        <v>0.723177067558368</v>
      </c>
      <c r="K36" s="7">
        <v>3</v>
      </c>
      <c r="L36" s="7">
        <v>7</v>
      </c>
      <c r="M36" s="7">
        <v>4</v>
      </c>
      <c r="N36" s="7">
        <v>4</v>
      </c>
      <c r="O36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0.96154184986454</v>
      </c>
      <c r="P36" s="39">
        <v>4</v>
      </c>
      <c r="Q36" s="3" t="s">
        <v>162</v>
      </c>
      <c r="R36" s="3" t="s">
        <v>162</v>
      </c>
      <c r="S36" s="3" t="s">
        <v>163</v>
      </c>
      <c r="T36" s="3" t="s">
        <v>164</v>
      </c>
      <c r="U36" s="3" t="s">
        <v>165</v>
      </c>
      <c r="V36" s="3" t="s">
        <v>168</v>
      </c>
      <c r="W36" s="3" t="s">
        <v>166</v>
      </c>
      <c r="X36" s="3" t="s">
        <v>167</v>
      </c>
      <c r="Y36" s="40">
        <f t="shared" si="0"/>
        <v>4</v>
      </c>
      <c r="Z36" s="14" t="s">
        <v>161</v>
      </c>
      <c r="AA36" s="14">
        <v>84.827</v>
      </c>
      <c r="AB36" s="14">
        <v>60.402</v>
      </c>
      <c r="AC36" s="14">
        <v>396.328</v>
      </c>
      <c r="AD36" s="14">
        <v>38.229</v>
      </c>
      <c r="AE36" s="14">
        <v>6357.305</v>
      </c>
      <c r="AF36" s="14">
        <v>43.087</v>
      </c>
      <c r="AG36" s="14">
        <v>167.741</v>
      </c>
      <c r="AH36" s="28">
        <f t="shared" si="1"/>
        <v>4</v>
      </c>
      <c r="AI36" s="14" t="s">
        <v>161</v>
      </c>
      <c r="AJ36" s="14">
        <v>0</v>
      </c>
      <c r="AK36" s="14">
        <v>1e-5</v>
      </c>
      <c r="AL36" s="14">
        <v>0</v>
      </c>
      <c r="AM36" s="14">
        <v>0.957782</v>
      </c>
      <c r="AN36" s="14">
        <v>0</v>
      </c>
      <c r="AO36" s="14">
        <v>0.042208</v>
      </c>
      <c r="AP36" s="14">
        <v>0</v>
      </c>
      <c r="AQ36" s="28">
        <f t="shared" si="2"/>
        <v>4</v>
      </c>
      <c r="AR36" s="14" t="s">
        <v>162</v>
      </c>
      <c r="AS36" s="14" t="s">
        <v>162</v>
      </c>
      <c r="AT36" s="14" t="s">
        <v>164</v>
      </c>
      <c r="AU36" s="14" t="s">
        <v>163</v>
      </c>
      <c r="AV36" s="14" t="s">
        <v>165</v>
      </c>
      <c r="AW36" s="14" t="s">
        <v>168</v>
      </c>
      <c r="AX36" s="14" t="s">
        <v>166</v>
      </c>
      <c r="AY36" s="14" t="s">
        <v>167</v>
      </c>
      <c r="AZ36" s="40">
        <f t="shared" si="3"/>
        <v>4</v>
      </c>
      <c r="BA36" s="14" t="s">
        <v>162</v>
      </c>
      <c r="BB36" s="14">
        <v>20.208</v>
      </c>
      <c r="BC36" s="14">
        <v>18.756</v>
      </c>
      <c r="BD36" s="14">
        <v>191.719</v>
      </c>
      <c r="BE36" s="14">
        <v>5.366</v>
      </c>
      <c r="BF36" s="14">
        <v>6156.324</v>
      </c>
      <c r="BG36" s="14">
        <v>47.375</v>
      </c>
      <c r="BH36" s="14">
        <v>111.837</v>
      </c>
      <c r="BI36" s="28">
        <f t="shared" si="4"/>
        <v>4</v>
      </c>
      <c r="BJ36" s="14" t="s">
        <v>162</v>
      </c>
      <c r="BK36" s="14">
        <v>0.000996</v>
      </c>
      <c r="BL36" s="14">
        <v>0.000823</v>
      </c>
      <c r="BM36" s="14">
        <v>0</v>
      </c>
      <c r="BN36" s="14">
        <v>0.998181</v>
      </c>
      <c r="BO36" s="14">
        <v>0</v>
      </c>
      <c r="BP36" s="14">
        <v>0</v>
      </c>
      <c r="BQ36" s="14">
        <v>0</v>
      </c>
      <c r="BR36" s="28">
        <f t="shared" si="5"/>
        <v>4</v>
      </c>
      <c r="BS36" s="28">
        <f t="shared" si="6"/>
        <v>1</v>
      </c>
      <c r="BT36" s="28">
        <f t="shared" si="7"/>
        <v>1</v>
      </c>
      <c r="BU36" s="28">
        <f t="shared" si="8"/>
        <v>1</v>
      </c>
      <c r="BV36" s="28">
        <f t="shared" si="9"/>
        <v>1</v>
      </c>
      <c r="BW36" s="14">
        <v>1</v>
      </c>
      <c r="BX36" s="15">
        <v>1</v>
      </c>
    </row>
    <row r="37" ht="13" customHeight="1" spans="1:76">
      <c r="A37" s="34" t="s">
        <v>45</v>
      </c>
      <c r="B37" s="35">
        <v>0.654488521058782</v>
      </c>
      <c r="C37" s="35">
        <v>-0.20997567373234</v>
      </c>
      <c r="D37" s="35">
        <v>-0.407119202298635</v>
      </c>
      <c r="E37" s="35">
        <v>-0.0456550573517199</v>
      </c>
      <c r="F37" s="35">
        <v>0.0991808156200559</v>
      </c>
      <c r="G37" s="35">
        <v>-0.686192209745458</v>
      </c>
      <c r="H37" s="35">
        <v>0.202728581531715</v>
      </c>
      <c r="I37" s="35">
        <v>-0.312366849772441</v>
      </c>
      <c r="J37" s="35">
        <v>-0.858101942525404</v>
      </c>
      <c r="K37" s="6">
        <v>3</v>
      </c>
      <c r="L37" s="6">
        <v>7</v>
      </c>
      <c r="M37" s="6">
        <v>5</v>
      </c>
      <c r="N37" s="6">
        <v>1</v>
      </c>
      <c r="O37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1.995982890174</v>
      </c>
      <c r="P37" s="39"/>
      <c r="Q37" s="3" t="s">
        <v>161</v>
      </c>
      <c r="R37" s="3" t="s">
        <v>164</v>
      </c>
      <c r="S37" s="3" t="s">
        <v>163</v>
      </c>
      <c r="T37" s="3" t="s">
        <v>165</v>
      </c>
      <c r="U37" s="3" t="s">
        <v>162</v>
      </c>
      <c r="V37" s="3" t="s">
        <v>168</v>
      </c>
      <c r="W37" s="3" t="s">
        <v>166</v>
      </c>
      <c r="X37" s="3" t="s">
        <v>167</v>
      </c>
      <c r="Y37" s="40">
        <f t="shared" si="0"/>
        <v>1</v>
      </c>
      <c r="Z37" s="14" t="s">
        <v>161</v>
      </c>
      <c r="AA37" s="14">
        <v>14.514</v>
      </c>
      <c r="AB37" s="14">
        <v>10.671</v>
      </c>
      <c r="AC37" s="14">
        <v>224.793</v>
      </c>
      <c r="AD37" s="14">
        <v>20.086</v>
      </c>
      <c r="AE37" s="14">
        <v>6604.505</v>
      </c>
      <c r="AF37" s="14">
        <v>31.559</v>
      </c>
      <c r="AG37" s="14">
        <v>83.7</v>
      </c>
      <c r="AH37" s="28">
        <f t="shared" si="1"/>
        <v>2</v>
      </c>
      <c r="AI37" s="14" t="s">
        <v>161</v>
      </c>
      <c r="AJ37" s="14">
        <v>0.265231</v>
      </c>
      <c r="AK37" s="14">
        <v>0.72494</v>
      </c>
      <c r="AL37" s="14">
        <v>0</v>
      </c>
      <c r="AM37" s="14">
        <v>0.009813</v>
      </c>
      <c r="AN37" s="14">
        <v>0</v>
      </c>
      <c r="AO37" s="14">
        <v>1.6e-5</v>
      </c>
      <c r="AP37" s="14">
        <v>0</v>
      </c>
      <c r="AQ37" s="28">
        <f t="shared" si="2"/>
        <v>2</v>
      </c>
      <c r="AR37" s="14" t="s">
        <v>161</v>
      </c>
      <c r="AS37" s="14" t="s">
        <v>164</v>
      </c>
      <c r="AT37" s="14" t="s">
        <v>163</v>
      </c>
      <c r="AU37" s="14" t="s">
        <v>165</v>
      </c>
      <c r="AV37" s="14" t="s">
        <v>162</v>
      </c>
      <c r="AW37" s="14" t="s">
        <v>168</v>
      </c>
      <c r="AX37" s="14" t="s">
        <v>166</v>
      </c>
      <c r="AY37" s="14" t="s">
        <v>167</v>
      </c>
      <c r="AZ37" s="40">
        <f t="shared" si="3"/>
        <v>1</v>
      </c>
      <c r="BA37" s="14" t="s">
        <v>161</v>
      </c>
      <c r="BB37" s="14">
        <v>15.663</v>
      </c>
      <c r="BC37" s="14">
        <v>20.057</v>
      </c>
      <c r="BD37" s="14">
        <v>182.12</v>
      </c>
      <c r="BE37" s="14">
        <v>50.802</v>
      </c>
      <c r="BF37" s="14">
        <v>6861.52</v>
      </c>
      <c r="BG37" s="14">
        <v>24.743</v>
      </c>
      <c r="BH37" s="14">
        <v>74.591</v>
      </c>
      <c r="BI37" s="28">
        <f t="shared" si="4"/>
        <v>1</v>
      </c>
      <c r="BJ37" s="14" t="s">
        <v>161</v>
      </c>
      <c r="BK37" s="14">
        <v>0.954521</v>
      </c>
      <c r="BL37" s="14">
        <v>0.042422</v>
      </c>
      <c r="BM37" s="14">
        <v>0</v>
      </c>
      <c r="BN37" s="14">
        <v>0</v>
      </c>
      <c r="BO37" s="14">
        <v>0</v>
      </c>
      <c r="BP37" s="14">
        <v>0.003057</v>
      </c>
      <c r="BQ37" s="14">
        <v>0</v>
      </c>
      <c r="BR37" s="28">
        <f t="shared" si="5"/>
        <v>1</v>
      </c>
      <c r="BS37" s="28">
        <f t="shared" si="6"/>
        <v>0</v>
      </c>
      <c r="BT37" s="28">
        <f t="shared" si="7"/>
        <v>0</v>
      </c>
      <c r="BU37" s="28">
        <f t="shared" si="8"/>
        <v>1</v>
      </c>
      <c r="BV37" s="28">
        <f t="shared" si="9"/>
        <v>1</v>
      </c>
      <c r="BW37" s="14">
        <v>6</v>
      </c>
      <c r="BX37" s="15">
        <v>4</v>
      </c>
    </row>
    <row r="38" ht="14" customHeight="1" spans="1:76">
      <c r="A38" s="36" t="s">
        <v>46</v>
      </c>
      <c r="B38" s="37">
        <v>0.570093078955544</v>
      </c>
      <c r="C38" s="37">
        <v>-0.446050316565918</v>
      </c>
      <c r="D38" s="37">
        <v>-0.194610881182095</v>
      </c>
      <c r="E38" s="37">
        <v>-0.0456550573517199</v>
      </c>
      <c r="F38" s="37">
        <v>1.75990905060053</v>
      </c>
      <c r="G38" s="37">
        <v>-0.179080157912139</v>
      </c>
      <c r="H38" s="37">
        <v>-0.329621920910584</v>
      </c>
      <c r="I38" s="37">
        <v>-0.279735302561144</v>
      </c>
      <c r="J38" s="37">
        <v>0.578450159605654</v>
      </c>
      <c r="K38" s="7">
        <v>6</v>
      </c>
      <c r="L38" s="7">
        <v>7</v>
      </c>
      <c r="M38" s="7">
        <v>5</v>
      </c>
      <c r="N38" s="7">
        <v>7</v>
      </c>
      <c r="O38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4.21478138965289</v>
      </c>
      <c r="P38" s="39"/>
      <c r="Q38" s="3" t="s">
        <v>161</v>
      </c>
      <c r="R38" s="3" t="s">
        <v>168</v>
      </c>
      <c r="S38" s="3" t="s">
        <v>164</v>
      </c>
      <c r="T38" s="3" t="s">
        <v>163</v>
      </c>
      <c r="U38" s="3" t="s">
        <v>162</v>
      </c>
      <c r="V38" s="3" t="s">
        <v>165</v>
      </c>
      <c r="W38" s="3" t="s">
        <v>166</v>
      </c>
      <c r="X38" s="3" t="s">
        <v>167</v>
      </c>
      <c r="Y38" s="40">
        <f t="shared" si="0"/>
        <v>7</v>
      </c>
      <c r="Z38" s="14" t="s">
        <v>161</v>
      </c>
      <c r="AA38" s="14">
        <v>32.502</v>
      </c>
      <c r="AB38" s="14">
        <v>45.153</v>
      </c>
      <c r="AC38" s="14">
        <v>228.109</v>
      </c>
      <c r="AD38" s="14">
        <v>50.51</v>
      </c>
      <c r="AE38" s="14">
        <v>6393.633</v>
      </c>
      <c r="AF38" s="14">
        <v>90.116</v>
      </c>
      <c r="AG38" s="14">
        <v>28.977</v>
      </c>
      <c r="AH38" s="28">
        <f t="shared" si="1"/>
        <v>7</v>
      </c>
      <c r="AI38" s="14" t="s">
        <v>161</v>
      </c>
      <c r="AJ38" s="14">
        <v>0.46156</v>
      </c>
      <c r="AK38" s="14">
        <v>0.000331</v>
      </c>
      <c r="AL38" s="14">
        <v>0</v>
      </c>
      <c r="AM38" s="14">
        <v>3.4e-5</v>
      </c>
      <c r="AN38" s="14">
        <v>0</v>
      </c>
      <c r="AO38" s="14">
        <v>0</v>
      </c>
      <c r="AP38" s="14">
        <v>0.538076</v>
      </c>
      <c r="AQ38" s="28">
        <f t="shared" si="2"/>
        <v>7</v>
      </c>
      <c r="AR38" s="14" t="s">
        <v>161</v>
      </c>
      <c r="AS38" s="14" t="s">
        <v>164</v>
      </c>
      <c r="AT38" s="14" t="s">
        <v>168</v>
      </c>
      <c r="AU38" s="14" t="s">
        <v>163</v>
      </c>
      <c r="AV38" s="14" t="s">
        <v>162</v>
      </c>
      <c r="AW38" s="14" t="s">
        <v>165</v>
      </c>
      <c r="AX38" s="14" t="s">
        <v>166</v>
      </c>
      <c r="AY38" s="14" t="s">
        <v>167</v>
      </c>
      <c r="AZ38" s="40">
        <f t="shared" si="3"/>
        <v>1</v>
      </c>
      <c r="BA38" s="14" t="s">
        <v>161</v>
      </c>
      <c r="BB38" s="14">
        <v>26.489</v>
      </c>
      <c r="BC38" s="14">
        <v>41.273</v>
      </c>
      <c r="BD38" s="14">
        <v>165.493</v>
      </c>
      <c r="BE38" s="14">
        <v>47.347</v>
      </c>
      <c r="BF38" s="14">
        <v>6311.811</v>
      </c>
      <c r="BG38" s="14">
        <v>86.591</v>
      </c>
      <c r="BH38" s="14">
        <v>28.494</v>
      </c>
      <c r="BI38" s="28">
        <f t="shared" si="4"/>
        <v>1</v>
      </c>
      <c r="BJ38" s="14" t="s">
        <v>161</v>
      </c>
      <c r="BK38" s="14">
        <v>0.931412</v>
      </c>
      <c r="BL38" s="14">
        <v>0.00023</v>
      </c>
      <c r="BM38" s="14">
        <v>0</v>
      </c>
      <c r="BN38" s="14">
        <v>1.7e-5</v>
      </c>
      <c r="BO38" s="14">
        <v>0</v>
      </c>
      <c r="BP38" s="14">
        <v>0</v>
      </c>
      <c r="BQ38" s="14">
        <v>0.068342</v>
      </c>
      <c r="BR38" s="28">
        <f t="shared" si="5"/>
        <v>1</v>
      </c>
      <c r="BS38" s="28">
        <f t="shared" si="6"/>
        <v>0</v>
      </c>
      <c r="BT38" s="28">
        <f t="shared" si="7"/>
        <v>0</v>
      </c>
      <c r="BU38" s="28">
        <f t="shared" si="8"/>
        <v>1</v>
      </c>
      <c r="BV38" s="28">
        <f t="shared" si="9"/>
        <v>0</v>
      </c>
      <c r="BW38" s="14">
        <v>6</v>
      </c>
      <c r="BX38" s="15">
        <v>4</v>
      </c>
    </row>
    <row r="39" spans="1:76">
      <c r="A39" s="34" t="s">
        <v>47</v>
      </c>
      <c r="B39" s="35">
        <v>-0.128011386829826</v>
      </c>
      <c r="C39" s="35">
        <v>-0.542547980789862</v>
      </c>
      <c r="D39" s="35">
        <v>0.0511596119352952</v>
      </c>
      <c r="E39" s="35">
        <v>-0.463574428494383</v>
      </c>
      <c r="F39" s="35">
        <v>-0.75844459055442</v>
      </c>
      <c r="G39" s="35">
        <v>0.192802013432294</v>
      </c>
      <c r="H39" s="35">
        <v>-0.627495600587562</v>
      </c>
      <c r="I39" s="35">
        <v>-0.289333629318871</v>
      </c>
      <c r="J39" s="35">
        <v>0.547307130512802</v>
      </c>
      <c r="K39" s="6">
        <v>3</v>
      </c>
      <c r="L39" s="6">
        <v>7</v>
      </c>
      <c r="M39" s="6">
        <v>4</v>
      </c>
      <c r="N39" s="6">
        <v>4</v>
      </c>
      <c r="O39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1.91768436951107</v>
      </c>
      <c r="P39" s="39">
        <v>4</v>
      </c>
      <c r="Q39" s="3" t="s">
        <v>162</v>
      </c>
      <c r="R39" s="3" t="s">
        <v>162</v>
      </c>
      <c r="S39" s="3" t="s">
        <v>163</v>
      </c>
      <c r="T39" s="3" t="s">
        <v>164</v>
      </c>
      <c r="U39" s="3" t="s">
        <v>165</v>
      </c>
      <c r="V39" s="3" t="s">
        <v>168</v>
      </c>
      <c r="W39" s="3" t="s">
        <v>166</v>
      </c>
      <c r="X39" s="3" t="s">
        <v>167</v>
      </c>
      <c r="Y39" s="40">
        <f t="shared" si="0"/>
        <v>4</v>
      </c>
      <c r="Z39" s="14" t="s">
        <v>161</v>
      </c>
      <c r="AA39" s="14">
        <v>27.491</v>
      </c>
      <c r="AB39" s="14">
        <v>10.271</v>
      </c>
      <c r="AC39" s="14">
        <v>294.062</v>
      </c>
      <c r="AD39" s="14">
        <v>9.081</v>
      </c>
      <c r="AE39" s="14">
        <v>6735.017</v>
      </c>
      <c r="AF39" s="14">
        <v>41.153</v>
      </c>
      <c r="AG39" s="14">
        <v>118.693</v>
      </c>
      <c r="AH39" s="28">
        <f t="shared" si="1"/>
        <v>4</v>
      </c>
      <c r="AI39" s="14" t="s">
        <v>161</v>
      </c>
      <c r="AJ39" s="14">
        <v>0.000122</v>
      </c>
      <c r="AK39" s="14">
        <v>0.268798</v>
      </c>
      <c r="AL39" s="14">
        <v>0</v>
      </c>
      <c r="AM39" s="14">
        <v>0.73108</v>
      </c>
      <c r="AN39" s="14">
        <v>0</v>
      </c>
      <c r="AO39" s="14">
        <v>0</v>
      </c>
      <c r="AP39" s="14">
        <v>0</v>
      </c>
      <c r="AQ39" s="28">
        <f t="shared" si="2"/>
        <v>4</v>
      </c>
      <c r="AR39" s="14" t="s">
        <v>162</v>
      </c>
      <c r="AS39" s="14" t="s">
        <v>162</v>
      </c>
      <c r="AT39" s="14" t="s">
        <v>163</v>
      </c>
      <c r="AU39" s="14" t="s">
        <v>164</v>
      </c>
      <c r="AV39" s="14" t="s">
        <v>165</v>
      </c>
      <c r="AW39" s="14" t="s">
        <v>168</v>
      </c>
      <c r="AX39" s="14" t="s">
        <v>166</v>
      </c>
      <c r="AY39" s="14" t="s">
        <v>167</v>
      </c>
      <c r="AZ39" s="40">
        <f t="shared" si="3"/>
        <v>4</v>
      </c>
      <c r="BA39" s="14" t="s">
        <v>162</v>
      </c>
      <c r="BB39" s="14">
        <v>14.515</v>
      </c>
      <c r="BC39" s="14">
        <v>11.994</v>
      </c>
      <c r="BD39" s="14">
        <v>227.587</v>
      </c>
      <c r="BE39" s="14">
        <v>7.128</v>
      </c>
      <c r="BF39" s="14">
        <v>6580.482</v>
      </c>
      <c r="BG39" s="14">
        <v>52.543</v>
      </c>
      <c r="BH39" s="14">
        <v>133.266</v>
      </c>
      <c r="BI39" s="28">
        <f t="shared" si="4"/>
        <v>4</v>
      </c>
      <c r="BJ39" s="14" t="s">
        <v>162</v>
      </c>
      <c r="BK39" s="14">
        <v>0.037709</v>
      </c>
      <c r="BL39" s="14">
        <v>0.053202</v>
      </c>
      <c r="BM39" s="14">
        <v>0</v>
      </c>
      <c r="BN39" s="14">
        <v>0.909089</v>
      </c>
      <c r="BO39" s="14">
        <v>0</v>
      </c>
      <c r="BP39" s="14">
        <v>0</v>
      </c>
      <c r="BQ39" s="14">
        <v>0</v>
      </c>
      <c r="BR39" s="28">
        <f t="shared" si="5"/>
        <v>4</v>
      </c>
      <c r="BS39" s="28">
        <f t="shared" si="6"/>
        <v>1</v>
      </c>
      <c r="BT39" s="28">
        <f t="shared" si="7"/>
        <v>1</v>
      </c>
      <c r="BU39" s="28">
        <f t="shared" si="8"/>
        <v>1</v>
      </c>
      <c r="BV39" s="28">
        <f t="shared" si="9"/>
        <v>1</v>
      </c>
      <c r="BW39" s="14">
        <v>2</v>
      </c>
      <c r="BX39" s="15">
        <v>4</v>
      </c>
    </row>
    <row r="40" spans="1:76">
      <c r="A40" s="36" t="s">
        <v>48</v>
      </c>
      <c r="B40" s="37">
        <v>-0.251933434754301</v>
      </c>
      <c r="C40" s="37">
        <v>-0.30681797247137</v>
      </c>
      <c r="D40" s="37">
        <v>1.55396302191813</v>
      </c>
      <c r="E40" s="37">
        <v>-0.135209208310862</v>
      </c>
      <c r="F40" s="37">
        <v>-0.158696239501135</v>
      </c>
      <c r="G40" s="37">
        <v>-0.352343442288523</v>
      </c>
      <c r="H40" s="37">
        <v>-0.359146088930814</v>
      </c>
      <c r="I40" s="37">
        <v>-0.12342545079263</v>
      </c>
      <c r="J40" s="37">
        <v>-0.157964308978999</v>
      </c>
      <c r="K40" s="7">
        <v>3</v>
      </c>
      <c r="L40" s="7">
        <v>7</v>
      </c>
      <c r="M40" s="7">
        <v>5</v>
      </c>
      <c r="N40" s="7">
        <v>2</v>
      </c>
      <c r="O40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2.9091932030439</v>
      </c>
      <c r="P40" s="39">
        <v>2</v>
      </c>
      <c r="Q40" s="3" t="s">
        <v>163</v>
      </c>
      <c r="R40" s="3" t="s">
        <v>163</v>
      </c>
      <c r="S40" s="3" t="s">
        <v>164</v>
      </c>
      <c r="T40" s="3" t="s">
        <v>162</v>
      </c>
      <c r="U40" s="3" t="s">
        <v>165</v>
      </c>
      <c r="V40" s="3" t="s">
        <v>168</v>
      </c>
      <c r="W40" s="3" t="s">
        <v>166</v>
      </c>
      <c r="X40" s="3" t="s">
        <v>167</v>
      </c>
      <c r="Y40" s="40">
        <f t="shared" si="0"/>
        <v>2</v>
      </c>
      <c r="Z40" s="14" t="s">
        <v>161</v>
      </c>
      <c r="AA40" s="14">
        <v>48.653</v>
      </c>
      <c r="AB40" s="14">
        <v>37.271</v>
      </c>
      <c r="AC40" s="14">
        <v>263.748</v>
      </c>
      <c r="AD40" s="14">
        <v>49.736</v>
      </c>
      <c r="AE40" s="14">
        <v>6272.029</v>
      </c>
      <c r="AF40" s="14">
        <v>48.971</v>
      </c>
      <c r="AG40" s="14">
        <v>73.552</v>
      </c>
      <c r="AH40" s="28">
        <f t="shared" si="1"/>
        <v>2</v>
      </c>
      <c r="AI40" s="14" t="s">
        <v>161</v>
      </c>
      <c r="AJ40" s="14">
        <v>0.008332</v>
      </c>
      <c r="AK40" s="14">
        <v>0.986628</v>
      </c>
      <c r="AL40" s="14">
        <v>0</v>
      </c>
      <c r="AM40" s="14">
        <v>0.002908</v>
      </c>
      <c r="AN40" s="14">
        <v>0</v>
      </c>
      <c r="AO40" s="14">
        <v>0.002132</v>
      </c>
      <c r="AP40" s="14">
        <v>0</v>
      </c>
      <c r="AQ40" s="28">
        <f t="shared" si="2"/>
        <v>2</v>
      </c>
      <c r="AR40" s="14" t="s">
        <v>163</v>
      </c>
      <c r="AS40" s="14" t="s">
        <v>163</v>
      </c>
      <c r="AT40" s="14" t="s">
        <v>164</v>
      </c>
      <c r="AU40" s="14" t="s">
        <v>162</v>
      </c>
      <c r="AV40" s="14" t="s">
        <v>165</v>
      </c>
      <c r="AW40" s="14" t="s">
        <v>168</v>
      </c>
      <c r="AX40" s="14" t="s">
        <v>166</v>
      </c>
      <c r="AY40" s="14" t="s">
        <v>167</v>
      </c>
      <c r="AZ40" s="40">
        <f t="shared" si="3"/>
        <v>2</v>
      </c>
      <c r="BA40" s="14" t="s">
        <v>163</v>
      </c>
      <c r="BB40" s="14">
        <v>20.746</v>
      </c>
      <c r="BC40" s="14">
        <v>8.644</v>
      </c>
      <c r="BD40" s="14">
        <v>193.27</v>
      </c>
      <c r="BE40" s="14">
        <v>25.858</v>
      </c>
      <c r="BF40" s="14">
        <v>6287.327</v>
      </c>
      <c r="BG40" s="14">
        <v>60.865</v>
      </c>
      <c r="BH40" s="14">
        <v>79.606</v>
      </c>
      <c r="BI40" s="28">
        <f t="shared" si="4"/>
        <v>2</v>
      </c>
      <c r="BJ40" s="14" t="s">
        <v>163</v>
      </c>
      <c r="BK40" s="14">
        <v>0.005854</v>
      </c>
      <c r="BL40" s="14">
        <v>0.993874</v>
      </c>
      <c r="BM40" s="14">
        <v>0</v>
      </c>
      <c r="BN40" s="14">
        <v>0.000273</v>
      </c>
      <c r="BO40" s="14">
        <v>0</v>
      </c>
      <c r="BP40" s="14">
        <v>0</v>
      </c>
      <c r="BQ40" s="14">
        <v>0</v>
      </c>
      <c r="BR40" s="28">
        <f t="shared" si="5"/>
        <v>2</v>
      </c>
      <c r="BS40" s="28">
        <f t="shared" si="6"/>
        <v>1</v>
      </c>
      <c r="BT40" s="28">
        <f t="shared" si="7"/>
        <v>1</v>
      </c>
      <c r="BU40" s="28">
        <f t="shared" si="8"/>
        <v>1</v>
      </c>
      <c r="BV40" s="28">
        <f t="shared" si="9"/>
        <v>1</v>
      </c>
      <c r="BW40" s="14">
        <v>1</v>
      </c>
      <c r="BX40" s="15">
        <v>1</v>
      </c>
    </row>
    <row r="41" spans="1:76">
      <c r="A41" s="34" t="s">
        <v>49</v>
      </c>
      <c r="B41" s="35">
        <v>-0.637016215685696</v>
      </c>
      <c r="C41" s="35">
        <v>-0.555644092363112</v>
      </c>
      <c r="D41" s="35">
        <v>-0.389102192464841</v>
      </c>
      <c r="E41" s="35">
        <v>-0.403871661188289</v>
      </c>
      <c r="F41" s="35">
        <v>-0.705395596358061</v>
      </c>
      <c r="G41" s="35">
        <v>-0.179080157912139</v>
      </c>
      <c r="H41" s="35">
        <v>-0.580234044803239</v>
      </c>
      <c r="I41" s="35">
        <v>-0.234240558602538</v>
      </c>
      <c r="J41" s="35">
        <v>1.51678946454574</v>
      </c>
      <c r="K41" s="6">
        <v>3</v>
      </c>
      <c r="L41" s="6">
        <v>7</v>
      </c>
      <c r="M41" s="6">
        <v>4</v>
      </c>
      <c r="N41" s="6">
        <v>4</v>
      </c>
      <c r="O41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4.25088596743579</v>
      </c>
      <c r="P41" s="39">
        <v>4</v>
      </c>
      <c r="Q41" s="3" t="s">
        <v>162</v>
      </c>
      <c r="R41" s="3" t="s">
        <v>162</v>
      </c>
      <c r="S41" s="3" t="s">
        <v>163</v>
      </c>
      <c r="T41" s="3" t="s">
        <v>164</v>
      </c>
      <c r="U41" s="3" t="s">
        <v>165</v>
      </c>
      <c r="V41" s="3" t="s">
        <v>166</v>
      </c>
      <c r="W41" s="3" t="s">
        <v>167</v>
      </c>
      <c r="X41" s="3" t="s">
        <v>168</v>
      </c>
      <c r="Y41" s="40">
        <f t="shared" si="0"/>
        <v>4</v>
      </c>
      <c r="Z41" s="14" t="s">
        <v>161</v>
      </c>
      <c r="AA41" s="14">
        <v>47.243</v>
      </c>
      <c r="AB41" s="14">
        <v>56.853</v>
      </c>
      <c r="AC41" s="14">
        <v>278.596</v>
      </c>
      <c r="AD41" s="14">
        <v>22.396</v>
      </c>
      <c r="AE41" s="14">
        <v>6117.209</v>
      </c>
      <c r="AF41" s="14">
        <v>70.096</v>
      </c>
      <c r="AG41" s="14">
        <v>142.687</v>
      </c>
      <c r="AH41" s="28">
        <f t="shared" si="1"/>
        <v>4</v>
      </c>
      <c r="AI41" s="14" t="s">
        <v>161</v>
      </c>
      <c r="AJ41" s="14">
        <v>7e-6</v>
      </c>
      <c r="AK41" s="14">
        <v>0</v>
      </c>
      <c r="AL41" s="14">
        <v>0</v>
      </c>
      <c r="AM41" s="14">
        <v>0.999993</v>
      </c>
      <c r="AN41" s="14">
        <v>0</v>
      </c>
      <c r="AO41" s="14">
        <v>0</v>
      </c>
      <c r="AP41" s="14">
        <v>0</v>
      </c>
      <c r="AQ41" s="28">
        <f t="shared" si="2"/>
        <v>4</v>
      </c>
      <c r="AR41" s="14" t="s">
        <v>162</v>
      </c>
      <c r="AS41" s="14" t="s">
        <v>162</v>
      </c>
      <c r="AT41" s="14" t="s">
        <v>163</v>
      </c>
      <c r="AU41" s="14" t="s">
        <v>164</v>
      </c>
      <c r="AV41" s="14" t="s">
        <v>165</v>
      </c>
      <c r="AW41" s="14" t="s">
        <v>166</v>
      </c>
      <c r="AX41" s="14" t="s">
        <v>167</v>
      </c>
      <c r="AY41" s="14" t="s">
        <v>168</v>
      </c>
      <c r="AZ41" s="40">
        <f t="shared" si="3"/>
        <v>4</v>
      </c>
      <c r="BA41" s="14" t="s">
        <v>162</v>
      </c>
      <c r="BB41" s="14">
        <v>39.372</v>
      </c>
      <c r="BC41" s="14">
        <v>28.872</v>
      </c>
      <c r="BD41" s="14">
        <v>274.192</v>
      </c>
      <c r="BE41" s="14">
        <v>2.182</v>
      </c>
      <c r="BF41" s="14">
        <v>6476.236</v>
      </c>
      <c r="BG41" s="14">
        <v>65.521</v>
      </c>
      <c r="BH41" s="14">
        <v>163.371</v>
      </c>
      <c r="BI41" s="28">
        <f t="shared" si="4"/>
        <v>4</v>
      </c>
      <c r="BJ41" s="14" t="s">
        <v>162</v>
      </c>
      <c r="BK41" s="14">
        <v>0</v>
      </c>
      <c r="BL41" s="14">
        <v>1e-6</v>
      </c>
      <c r="BM41" s="14">
        <v>0</v>
      </c>
      <c r="BN41" s="14">
        <v>0.999999</v>
      </c>
      <c r="BO41" s="14">
        <v>0</v>
      </c>
      <c r="BP41" s="14">
        <v>0</v>
      </c>
      <c r="BQ41" s="14">
        <v>0</v>
      </c>
      <c r="BR41" s="28">
        <f t="shared" si="5"/>
        <v>4</v>
      </c>
      <c r="BS41" s="28">
        <f t="shared" si="6"/>
        <v>1</v>
      </c>
      <c r="BT41" s="28">
        <f t="shared" si="7"/>
        <v>1</v>
      </c>
      <c r="BU41" s="28">
        <f t="shared" si="8"/>
        <v>1</v>
      </c>
      <c r="BV41" s="28">
        <f t="shared" si="9"/>
        <v>1</v>
      </c>
      <c r="BW41" s="14">
        <v>2</v>
      </c>
      <c r="BX41" s="15">
        <v>3</v>
      </c>
    </row>
    <row r="42" spans="1:76">
      <c r="A42" s="36" t="s">
        <v>50</v>
      </c>
      <c r="B42" s="37">
        <v>0.153641151439993</v>
      </c>
      <c r="C42" s="37">
        <v>-0.0655738119115085</v>
      </c>
      <c r="D42" s="37">
        <v>0.490959441724308</v>
      </c>
      <c r="E42" s="37">
        <v>-0.254614742923052</v>
      </c>
      <c r="F42" s="37">
        <v>-0.51530336715444</v>
      </c>
      <c r="G42" s="37">
        <v>0.336483761451735</v>
      </c>
      <c r="H42" s="37">
        <v>-0.0135531144304398</v>
      </c>
      <c r="I42" s="37">
        <v>-0.315021244749858</v>
      </c>
      <c r="J42" s="37">
        <v>-0.397925636495814</v>
      </c>
      <c r="K42" s="7">
        <v>3</v>
      </c>
      <c r="L42" s="7">
        <v>7</v>
      </c>
      <c r="M42" s="7">
        <v>5</v>
      </c>
      <c r="N42" s="7">
        <v>1</v>
      </c>
      <c r="O42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0.970301134612962</v>
      </c>
      <c r="P42" s="39">
        <v>1</v>
      </c>
      <c r="Q42" s="3" t="s">
        <v>164</v>
      </c>
      <c r="R42" s="3" t="s">
        <v>164</v>
      </c>
      <c r="S42" s="3" t="s">
        <v>163</v>
      </c>
      <c r="T42" s="3" t="s">
        <v>162</v>
      </c>
      <c r="U42" s="3" t="s">
        <v>165</v>
      </c>
      <c r="V42" s="3" t="s">
        <v>168</v>
      </c>
      <c r="W42" s="3" t="s">
        <v>166</v>
      </c>
      <c r="X42" s="3" t="s">
        <v>167</v>
      </c>
      <c r="Y42" s="40">
        <f t="shared" si="0"/>
        <v>1</v>
      </c>
      <c r="Z42" s="14" t="s">
        <v>161</v>
      </c>
      <c r="AA42" s="14">
        <v>32.516</v>
      </c>
      <c r="AB42" s="14">
        <v>63.645</v>
      </c>
      <c r="AC42" s="14">
        <v>124.125</v>
      </c>
      <c r="AD42" s="14">
        <v>111.782</v>
      </c>
      <c r="AE42" s="14">
        <v>6533.99</v>
      </c>
      <c r="AF42" s="14">
        <v>112.144</v>
      </c>
      <c r="AG42" s="14">
        <v>107.815</v>
      </c>
      <c r="AH42" s="28">
        <f t="shared" si="1"/>
        <v>1</v>
      </c>
      <c r="AI42" s="14" t="s">
        <v>161</v>
      </c>
      <c r="AJ42" s="14">
        <v>1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28">
        <f t="shared" si="2"/>
        <v>1</v>
      </c>
      <c r="AR42" s="14" t="s">
        <v>164</v>
      </c>
      <c r="AS42" s="14" t="s">
        <v>164</v>
      </c>
      <c r="AT42" s="14" t="s">
        <v>163</v>
      </c>
      <c r="AU42" s="14" t="s">
        <v>162</v>
      </c>
      <c r="AV42" s="14" t="s">
        <v>165</v>
      </c>
      <c r="AW42" s="14" t="s">
        <v>168</v>
      </c>
      <c r="AX42" s="14" t="s">
        <v>166</v>
      </c>
      <c r="AY42" s="14" t="s">
        <v>167</v>
      </c>
      <c r="AZ42" s="40">
        <f t="shared" si="3"/>
        <v>1</v>
      </c>
      <c r="BA42" s="14" t="s">
        <v>164</v>
      </c>
      <c r="BB42" s="14">
        <v>3.189</v>
      </c>
      <c r="BC42" s="14">
        <v>8.364</v>
      </c>
      <c r="BD42" s="14">
        <v>161.136</v>
      </c>
      <c r="BE42" s="14">
        <v>27.594</v>
      </c>
      <c r="BF42" s="14">
        <v>6497.96</v>
      </c>
      <c r="BG42" s="14">
        <v>30.863</v>
      </c>
      <c r="BH42" s="14">
        <v>92.336</v>
      </c>
      <c r="BI42" s="28">
        <f t="shared" si="4"/>
        <v>1</v>
      </c>
      <c r="BJ42" s="14" t="s">
        <v>164</v>
      </c>
      <c r="BK42" s="14">
        <v>0.970798</v>
      </c>
      <c r="BL42" s="14">
        <v>0.029199</v>
      </c>
      <c r="BM42" s="14">
        <v>0</v>
      </c>
      <c r="BN42" s="14">
        <v>3e-6</v>
      </c>
      <c r="BO42" s="14">
        <v>0</v>
      </c>
      <c r="BP42" s="14">
        <v>0</v>
      </c>
      <c r="BQ42" s="14">
        <v>0</v>
      </c>
      <c r="BR42" s="28">
        <f t="shared" si="5"/>
        <v>1</v>
      </c>
      <c r="BS42" s="28">
        <f t="shared" si="6"/>
        <v>1</v>
      </c>
      <c r="BT42" s="28">
        <f t="shared" si="7"/>
        <v>1</v>
      </c>
      <c r="BU42" s="28">
        <f t="shared" si="8"/>
        <v>1</v>
      </c>
      <c r="BV42" s="28">
        <f t="shared" si="9"/>
        <v>1</v>
      </c>
      <c r="BW42" s="14">
        <v>1</v>
      </c>
      <c r="BX42" s="15">
        <v>1</v>
      </c>
    </row>
    <row r="43" spans="1:76">
      <c r="A43" s="34" t="s">
        <v>51</v>
      </c>
      <c r="B43" s="35">
        <v>1.7112073937713</v>
      </c>
      <c r="C43" s="35">
        <v>0.00886724334696287</v>
      </c>
      <c r="D43" s="35">
        <v>-0.13039641023601</v>
      </c>
      <c r="E43" s="35">
        <v>-0.463574428494383</v>
      </c>
      <c r="F43" s="35">
        <v>-0.310475306229608</v>
      </c>
      <c r="G43" s="35">
        <v>-0.686192209745458</v>
      </c>
      <c r="H43" s="35">
        <v>0.976650861844971</v>
      </c>
      <c r="I43" s="35">
        <v>-0.275706700400688</v>
      </c>
      <c r="J43" s="35">
        <v>-0.396381867129917</v>
      </c>
      <c r="K43" s="6">
        <v>3</v>
      </c>
      <c r="L43" s="6">
        <v>7</v>
      </c>
      <c r="M43" s="6">
        <v>6</v>
      </c>
      <c r="N43" s="6">
        <v>6</v>
      </c>
      <c r="O43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4.91444818672992</v>
      </c>
      <c r="P43" s="39">
        <v>6</v>
      </c>
      <c r="Q43" s="3" t="s">
        <v>165</v>
      </c>
      <c r="R43" s="3" t="s">
        <v>165</v>
      </c>
      <c r="S43" s="3" t="s">
        <v>163</v>
      </c>
      <c r="T43" s="3" t="s">
        <v>164</v>
      </c>
      <c r="U43" s="3" t="s">
        <v>162</v>
      </c>
      <c r="V43" s="3" t="s">
        <v>168</v>
      </c>
      <c r="W43" s="3" t="s">
        <v>166</v>
      </c>
      <c r="X43" s="3" t="s">
        <v>167</v>
      </c>
      <c r="Y43" s="40">
        <f t="shared" si="0"/>
        <v>6</v>
      </c>
      <c r="Z43" s="14" t="s">
        <v>161</v>
      </c>
      <c r="AA43" s="14">
        <v>636.7</v>
      </c>
      <c r="AB43" s="14">
        <v>649.184</v>
      </c>
      <c r="AC43" s="14">
        <v>539.878</v>
      </c>
      <c r="AD43" s="14">
        <v>574.37</v>
      </c>
      <c r="AE43" s="14">
        <v>3469.936</v>
      </c>
      <c r="AF43" s="14">
        <v>580.863</v>
      </c>
      <c r="AG43" s="14">
        <v>573.444</v>
      </c>
      <c r="AH43" s="28">
        <f t="shared" si="1"/>
        <v>3</v>
      </c>
      <c r="AI43" s="14" t="s">
        <v>161</v>
      </c>
      <c r="AJ43" s="14">
        <v>0</v>
      </c>
      <c r="AK43" s="14">
        <v>0</v>
      </c>
      <c r="AL43" s="14">
        <v>1</v>
      </c>
      <c r="AM43" s="14">
        <v>0</v>
      </c>
      <c r="AN43" s="14">
        <v>0</v>
      </c>
      <c r="AO43" s="14">
        <v>0</v>
      </c>
      <c r="AP43" s="14">
        <v>0</v>
      </c>
      <c r="AQ43" s="28">
        <f t="shared" si="2"/>
        <v>3</v>
      </c>
      <c r="AR43" s="14" t="s">
        <v>165</v>
      </c>
      <c r="AS43" s="14" t="s">
        <v>165</v>
      </c>
      <c r="AT43" s="14" t="s">
        <v>163</v>
      </c>
      <c r="AU43" s="14" t="s">
        <v>164</v>
      </c>
      <c r="AV43" s="14" t="s">
        <v>162</v>
      </c>
      <c r="AW43" s="14" t="s">
        <v>168</v>
      </c>
      <c r="AX43" s="14" t="s">
        <v>166</v>
      </c>
      <c r="AY43" s="14" t="s">
        <v>167</v>
      </c>
      <c r="AZ43" s="40">
        <f t="shared" si="3"/>
        <v>6</v>
      </c>
      <c r="BA43" s="14" t="s">
        <v>165</v>
      </c>
      <c r="BB43" s="14">
        <v>27.736</v>
      </c>
      <c r="BC43" s="14">
        <v>23.395</v>
      </c>
      <c r="BD43" s="14">
        <v>234.614</v>
      </c>
      <c r="BE43" s="14">
        <v>42.369</v>
      </c>
      <c r="BF43" s="14">
        <v>6846.407</v>
      </c>
      <c r="BG43" s="14">
        <v>3.217</v>
      </c>
      <c r="BH43" s="14">
        <v>126.828</v>
      </c>
      <c r="BI43" s="28">
        <f t="shared" si="4"/>
        <v>6</v>
      </c>
      <c r="BJ43" s="14" t="s">
        <v>165</v>
      </c>
      <c r="BK43" s="14">
        <v>1.6e-5</v>
      </c>
      <c r="BL43" s="14">
        <v>5.5e-5</v>
      </c>
      <c r="BM43" s="14">
        <v>0</v>
      </c>
      <c r="BN43" s="14">
        <v>0</v>
      </c>
      <c r="BO43" s="14">
        <v>0</v>
      </c>
      <c r="BP43" s="14">
        <v>0.999929</v>
      </c>
      <c r="BQ43" s="14">
        <v>0</v>
      </c>
      <c r="BR43" s="28">
        <f t="shared" si="5"/>
        <v>6</v>
      </c>
      <c r="BS43" s="28">
        <f t="shared" si="6"/>
        <v>1</v>
      </c>
      <c r="BT43" s="28">
        <f t="shared" si="7"/>
        <v>1</v>
      </c>
      <c r="BU43" s="28">
        <f t="shared" si="8"/>
        <v>1</v>
      </c>
      <c r="BV43" s="28">
        <f t="shared" si="9"/>
        <v>1</v>
      </c>
      <c r="BW43" s="14">
        <v>5</v>
      </c>
      <c r="BX43" s="15">
        <v>5</v>
      </c>
    </row>
    <row r="44" spans="1:76">
      <c r="A44" s="36" t="s">
        <v>52</v>
      </c>
      <c r="B44" s="37">
        <v>0.52878905761029</v>
      </c>
      <c r="C44" s="37">
        <v>-0.372987799367789</v>
      </c>
      <c r="D44" s="37">
        <v>-0.435299653577133</v>
      </c>
      <c r="E44" s="37">
        <v>-0.0158036736986726</v>
      </c>
      <c r="F44" s="37">
        <v>-0.401837462901116</v>
      </c>
      <c r="G44" s="37">
        <v>-0.732677481163513</v>
      </c>
      <c r="H44" s="37">
        <v>-0.185090819323175</v>
      </c>
      <c r="I44" s="37">
        <v>-0.143947410969683</v>
      </c>
      <c r="J44" s="37">
        <v>-0.210186455857081</v>
      </c>
      <c r="K44" s="7">
        <v>3</v>
      </c>
      <c r="L44" s="7">
        <v>7</v>
      </c>
      <c r="M44" s="7">
        <v>5</v>
      </c>
      <c r="N44" s="7">
        <v>1</v>
      </c>
      <c r="O44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1.4059207631756</v>
      </c>
      <c r="P44" s="39"/>
      <c r="Q44" s="3" t="s">
        <v>161</v>
      </c>
      <c r="R44" s="3" t="s">
        <v>163</v>
      </c>
      <c r="S44" s="3" t="s">
        <v>164</v>
      </c>
      <c r="T44" s="3" t="s">
        <v>162</v>
      </c>
      <c r="U44" s="3" t="s">
        <v>165</v>
      </c>
      <c r="V44" s="3" t="s">
        <v>168</v>
      </c>
      <c r="W44" s="3" t="s">
        <v>166</v>
      </c>
      <c r="X44" s="3" t="s">
        <v>167</v>
      </c>
      <c r="Y44" s="40">
        <f t="shared" si="0"/>
        <v>2</v>
      </c>
      <c r="Z44" s="14" t="s">
        <v>164</v>
      </c>
      <c r="AA44" s="14">
        <v>4.325</v>
      </c>
      <c r="AB44" s="14">
        <v>8.704</v>
      </c>
      <c r="AC44" s="14">
        <v>207.734</v>
      </c>
      <c r="AD44" s="14">
        <v>27.78</v>
      </c>
      <c r="AE44" s="14">
        <v>6605.056</v>
      </c>
      <c r="AF44" s="14">
        <v>36.647</v>
      </c>
      <c r="AG44" s="14">
        <v>93.607</v>
      </c>
      <c r="AH44" s="28">
        <f t="shared" si="1"/>
        <v>1</v>
      </c>
      <c r="AI44" s="14" t="s">
        <v>164</v>
      </c>
      <c r="AJ44" s="14">
        <v>0.957121</v>
      </c>
      <c r="AK44" s="14">
        <v>0.042874</v>
      </c>
      <c r="AL44" s="14">
        <v>0</v>
      </c>
      <c r="AM44" s="14">
        <v>5e-6</v>
      </c>
      <c r="AN44" s="14">
        <v>0</v>
      </c>
      <c r="AO44" s="14">
        <v>0</v>
      </c>
      <c r="AP44" s="14">
        <v>0</v>
      </c>
      <c r="AQ44" s="28">
        <f t="shared" si="2"/>
        <v>1</v>
      </c>
      <c r="AR44" s="14" t="s">
        <v>161</v>
      </c>
      <c r="AS44" s="14" t="s">
        <v>163</v>
      </c>
      <c r="AT44" s="14" t="s">
        <v>164</v>
      </c>
      <c r="AU44" s="14" t="s">
        <v>162</v>
      </c>
      <c r="AV44" s="14" t="s">
        <v>165</v>
      </c>
      <c r="AW44" s="14" t="s">
        <v>168</v>
      </c>
      <c r="AX44" s="14" t="s">
        <v>166</v>
      </c>
      <c r="AY44" s="14" t="s">
        <v>167</v>
      </c>
      <c r="AZ44" s="40">
        <f t="shared" si="3"/>
        <v>2</v>
      </c>
      <c r="BA44" s="14" t="s">
        <v>161</v>
      </c>
      <c r="BB44" s="14">
        <v>12.016</v>
      </c>
      <c r="BC44" s="14">
        <v>9.46</v>
      </c>
      <c r="BD44" s="14">
        <v>173.858</v>
      </c>
      <c r="BE44" s="14">
        <v>19.035</v>
      </c>
      <c r="BF44" s="14">
        <v>6509.865</v>
      </c>
      <c r="BG44" s="14">
        <v>26.489</v>
      </c>
      <c r="BH44" s="14">
        <v>83.424</v>
      </c>
      <c r="BI44" s="28">
        <f t="shared" si="4"/>
        <v>2</v>
      </c>
      <c r="BJ44" s="14" t="s">
        <v>161</v>
      </c>
      <c r="BK44" s="14">
        <v>0.407516</v>
      </c>
      <c r="BL44" s="14">
        <v>0.58508</v>
      </c>
      <c r="BM44" s="14">
        <v>0</v>
      </c>
      <c r="BN44" s="14">
        <v>0.007316</v>
      </c>
      <c r="BO44" s="14">
        <v>0</v>
      </c>
      <c r="BP44" s="14">
        <v>8.8e-5</v>
      </c>
      <c r="BQ44" s="14">
        <v>0</v>
      </c>
      <c r="BR44" s="28">
        <f t="shared" si="5"/>
        <v>2</v>
      </c>
      <c r="BS44" s="28">
        <f t="shared" si="6"/>
        <v>0</v>
      </c>
      <c r="BT44" s="28">
        <f t="shared" si="7"/>
        <v>0</v>
      </c>
      <c r="BU44" s="28">
        <f t="shared" si="8"/>
        <v>0</v>
      </c>
      <c r="BV44" s="28">
        <f t="shared" si="9"/>
        <v>0</v>
      </c>
      <c r="BW44" s="14">
        <v>6</v>
      </c>
      <c r="BX44" s="15">
        <v>4</v>
      </c>
    </row>
    <row r="45" spans="1:76">
      <c r="A45" s="34" t="s">
        <v>53</v>
      </c>
      <c r="B45" s="35">
        <v>-1.10683461885372</v>
      </c>
      <c r="C45" s="35">
        <v>-0.82859462831084</v>
      </c>
      <c r="D45" s="35">
        <v>-0.855696549698984</v>
      </c>
      <c r="E45" s="35">
        <v>0.64092676666837</v>
      </c>
      <c r="F45" s="35">
        <v>-0.795284169857448</v>
      </c>
      <c r="G45" s="35">
        <v>0.949244157416996</v>
      </c>
      <c r="H45" s="35">
        <v>-0.0429628476909021</v>
      </c>
      <c r="I45" s="35">
        <v>-0.0788981480378367</v>
      </c>
      <c r="J45" s="35">
        <v>0.0446323254490974</v>
      </c>
      <c r="K45" s="6">
        <v>2</v>
      </c>
      <c r="L45" s="6">
        <v>7</v>
      </c>
      <c r="M45" s="6">
        <v>7</v>
      </c>
      <c r="N45" s="6">
        <v>1</v>
      </c>
      <c r="O45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4.59825978669405</v>
      </c>
      <c r="P45" s="39"/>
      <c r="Q45" s="3" t="s">
        <v>161</v>
      </c>
      <c r="R45" s="3" t="s">
        <v>166</v>
      </c>
      <c r="S45" s="3" t="s">
        <v>164</v>
      </c>
      <c r="T45" s="3" t="s">
        <v>162</v>
      </c>
      <c r="U45" s="3" t="s">
        <v>163</v>
      </c>
      <c r="V45" s="3" t="s">
        <v>168</v>
      </c>
      <c r="W45" s="3" t="s">
        <v>165</v>
      </c>
      <c r="X45" s="3" t="s">
        <v>167</v>
      </c>
      <c r="Y45" s="40">
        <f t="shared" si="0"/>
        <v>3</v>
      </c>
      <c r="Z45" s="14" t="s">
        <v>161</v>
      </c>
      <c r="AA45" s="14">
        <v>111.726</v>
      </c>
      <c r="AB45" s="14">
        <v>175.425</v>
      </c>
      <c r="AC45" s="14">
        <v>79.143</v>
      </c>
      <c r="AD45" s="14">
        <v>205.881</v>
      </c>
      <c r="AE45" s="14">
        <v>5882.576</v>
      </c>
      <c r="AF45" s="14">
        <v>183.722</v>
      </c>
      <c r="AG45" s="14">
        <v>142.061</v>
      </c>
      <c r="AH45" s="28">
        <f t="shared" si="1"/>
        <v>3</v>
      </c>
      <c r="AI45" s="14" t="s">
        <v>161</v>
      </c>
      <c r="AJ45" s="14">
        <v>0</v>
      </c>
      <c r="AK45" s="14">
        <v>0</v>
      </c>
      <c r="AL45" s="14">
        <v>1</v>
      </c>
      <c r="AM45" s="14">
        <v>0</v>
      </c>
      <c r="AN45" s="14">
        <v>0</v>
      </c>
      <c r="AO45" s="14">
        <v>0</v>
      </c>
      <c r="AP45" s="14">
        <v>0</v>
      </c>
      <c r="AQ45" s="28">
        <f t="shared" si="2"/>
        <v>3</v>
      </c>
      <c r="AR45" s="14" t="s">
        <v>161</v>
      </c>
      <c r="AS45" s="14" t="s">
        <v>166</v>
      </c>
      <c r="AT45" s="14" t="s">
        <v>164</v>
      </c>
      <c r="AU45" s="14" t="s">
        <v>162</v>
      </c>
      <c r="AV45" s="14" t="s">
        <v>163</v>
      </c>
      <c r="AW45" s="14" t="s">
        <v>165</v>
      </c>
      <c r="AX45" s="14" t="s">
        <v>168</v>
      </c>
      <c r="AY45" s="14" t="s">
        <v>167</v>
      </c>
      <c r="AZ45" s="40">
        <f t="shared" si="3"/>
        <v>3</v>
      </c>
      <c r="BA45" s="14" t="s">
        <v>161</v>
      </c>
      <c r="BB45" s="14">
        <v>72.493</v>
      </c>
      <c r="BC45" s="14">
        <v>99.913</v>
      </c>
      <c r="BD45" s="14">
        <v>49.807</v>
      </c>
      <c r="BE45" s="14">
        <v>95.366</v>
      </c>
      <c r="BF45" s="14">
        <v>5437.48</v>
      </c>
      <c r="BG45" s="14">
        <v>104.823</v>
      </c>
      <c r="BH45" s="14">
        <v>114.017</v>
      </c>
      <c r="BI45" s="28">
        <f t="shared" si="4"/>
        <v>3</v>
      </c>
      <c r="BJ45" s="14" t="s">
        <v>161</v>
      </c>
      <c r="BK45" s="14">
        <v>5.9e-5</v>
      </c>
      <c r="BL45" s="14">
        <v>0</v>
      </c>
      <c r="BM45" s="14">
        <v>0.999941</v>
      </c>
      <c r="BN45" s="14">
        <v>0</v>
      </c>
      <c r="BO45" s="14">
        <v>0</v>
      </c>
      <c r="BP45" s="14">
        <v>0</v>
      </c>
      <c r="BQ45" s="14">
        <v>0</v>
      </c>
      <c r="BR45" s="28">
        <f t="shared" si="5"/>
        <v>3</v>
      </c>
      <c r="BS45" s="28">
        <f t="shared" si="6"/>
        <v>0</v>
      </c>
      <c r="BT45" s="28">
        <f t="shared" si="7"/>
        <v>0</v>
      </c>
      <c r="BU45" s="28">
        <f t="shared" si="8"/>
        <v>0</v>
      </c>
      <c r="BV45" s="28">
        <f t="shared" si="9"/>
        <v>0</v>
      </c>
      <c r="BW45" s="14">
        <v>2</v>
      </c>
      <c r="BX45" s="15">
        <v>3</v>
      </c>
    </row>
    <row r="46" spans="1:76">
      <c r="A46" s="36" t="s">
        <v>54</v>
      </c>
      <c r="B46" s="37">
        <v>0.968775080984088</v>
      </c>
      <c r="C46" s="37">
        <v>-0.847204892125458</v>
      </c>
      <c r="D46" s="37">
        <v>0.35005718533182</v>
      </c>
      <c r="E46" s="37">
        <v>2.07379318201464</v>
      </c>
      <c r="F46" s="37">
        <v>2.74868335909378</v>
      </c>
      <c r="G46" s="37">
        <v>0.366065297808679</v>
      </c>
      <c r="H46" s="37">
        <v>-0.871356073653886</v>
      </c>
      <c r="I46" s="37">
        <v>0.554933153142333</v>
      </c>
      <c r="J46" s="37">
        <v>-0.372166367022387</v>
      </c>
      <c r="K46" s="7">
        <v>6</v>
      </c>
      <c r="L46" s="7">
        <v>7</v>
      </c>
      <c r="M46" s="7">
        <v>1</v>
      </c>
      <c r="N46" s="7">
        <v>7</v>
      </c>
      <c r="O46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14.9744235086614</v>
      </c>
      <c r="P46" s="39"/>
      <c r="Q46" s="3" t="s">
        <v>161</v>
      </c>
      <c r="R46" s="3" t="s">
        <v>168</v>
      </c>
      <c r="S46" s="3" t="s">
        <v>166</v>
      </c>
      <c r="T46" s="3" t="s">
        <v>164</v>
      </c>
      <c r="U46" s="3" t="s">
        <v>163</v>
      </c>
      <c r="V46" s="3" t="s">
        <v>162</v>
      </c>
      <c r="W46" s="3" t="s">
        <v>167</v>
      </c>
      <c r="X46" s="3" t="s">
        <v>165</v>
      </c>
      <c r="Y46" s="40">
        <f t="shared" si="0"/>
        <v>7</v>
      </c>
      <c r="Z46" s="14" t="s">
        <v>161</v>
      </c>
      <c r="AA46" s="14">
        <v>564.474</v>
      </c>
      <c r="AB46" s="14">
        <v>609.68</v>
      </c>
      <c r="AC46" s="14">
        <v>325.407</v>
      </c>
      <c r="AD46" s="14">
        <v>619.604</v>
      </c>
      <c r="AE46" s="14">
        <v>4044.837</v>
      </c>
      <c r="AF46" s="14">
        <v>680.961</v>
      </c>
      <c r="AG46" s="14">
        <v>320.341</v>
      </c>
      <c r="AH46" s="28">
        <f t="shared" si="1"/>
        <v>7</v>
      </c>
      <c r="AI46" s="14" t="s">
        <v>161</v>
      </c>
      <c r="AJ46" s="14">
        <v>0</v>
      </c>
      <c r="AK46" s="14">
        <v>0</v>
      </c>
      <c r="AL46" s="14">
        <v>0.073565</v>
      </c>
      <c r="AM46" s="14">
        <v>0</v>
      </c>
      <c r="AN46" s="14">
        <v>0</v>
      </c>
      <c r="AO46" s="14">
        <v>0</v>
      </c>
      <c r="AP46" s="14">
        <v>0.926435</v>
      </c>
      <c r="AQ46" s="28">
        <f t="shared" si="2"/>
        <v>7</v>
      </c>
      <c r="AR46" s="14" t="s">
        <v>161</v>
      </c>
      <c r="AS46" s="14" t="s">
        <v>166</v>
      </c>
      <c r="AT46" s="14" t="s">
        <v>168</v>
      </c>
      <c r="AU46" s="14" t="s">
        <v>164</v>
      </c>
      <c r="AV46" s="14" t="s">
        <v>163</v>
      </c>
      <c r="AW46" s="14" t="s">
        <v>162</v>
      </c>
      <c r="AX46" s="14" t="s">
        <v>167</v>
      </c>
      <c r="AY46" s="14" t="s">
        <v>165</v>
      </c>
      <c r="AZ46" s="40">
        <f t="shared" si="3"/>
        <v>3</v>
      </c>
      <c r="BA46" s="14" t="s">
        <v>161</v>
      </c>
      <c r="BB46" s="14">
        <v>516.954</v>
      </c>
      <c r="BC46" s="14">
        <v>567.105</v>
      </c>
      <c r="BD46" s="14">
        <v>215.154</v>
      </c>
      <c r="BE46" s="14">
        <v>575.797</v>
      </c>
      <c r="BF46" s="14">
        <v>4027.484</v>
      </c>
      <c r="BG46" s="14">
        <v>642.491</v>
      </c>
      <c r="BH46" s="14">
        <v>294.534</v>
      </c>
      <c r="BI46" s="28">
        <f t="shared" si="4"/>
        <v>3</v>
      </c>
      <c r="BJ46" s="14" t="s">
        <v>161</v>
      </c>
      <c r="BK46" s="14">
        <v>0</v>
      </c>
      <c r="BL46" s="14">
        <v>0</v>
      </c>
      <c r="BM46" s="14">
        <v>1</v>
      </c>
      <c r="BN46" s="14">
        <v>0</v>
      </c>
      <c r="BO46" s="14">
        <v>0</v>
      </c>
      <c r="BP46" s="14">
        <v>0</v>
      </c>
      <c r="BQ46" s="14">
        <v>0</v>
      </c>
      <c r="BR46" s="28">
        <f t="shared" si="5"/>
        <v>3</v>
      </c>
      <c r="BS46" s="28">
        <f t="shared" si="6"/>
        <v>0</v>
      </c>
      <c r="BT46" s="28">
        <f t="shared" si="7"/>
        <v>0</v>
      </c>
      <c r="BU46" s="28">
        <f t="shared" si="8"/>
        <v>1</v>
      </c>
      <c r="BV46" s="28">
        <f t="shared" si="9"/>
        <v>0</v>
      </c>
      <c r="BW46" s="14">
        <v>2</v>
      </c>
      <c r="BX46" s="15">
        <v>3</v>
      </c>
    </row>
    <row r="47" spans="1:76">
      <c r="A47" s="34" t="s">
        <v>55</v>
      </c>
      <c r="B47" s="35">
        <v>-0.578195965256378</v>
      </c>
      <c r="C47" s="35">
        <v>-0.269597444842134</v>
      </c>
      <c r="D47" s="35">
        <v>0.777383700620515</v>
      </c>
      <c r="E47" s="35">
        <v>-0.61283134675962</v>
      </c>
      <c r="F47" s="35">
        <v>-0.646452269473217</v>
      </c>
      <c r="G47" s="35">
        <v>0.0660240004739653</v>
      </c>
      <c r="H47" s="35">
        <v>-0.0466247600034889</v>
      </c>
      <c r="I47" s="35">
        <v>-0.353947637517537</v>
      </c>
      <c r="J47" s="35">
        <v>1.11550239725789</v>
      </c>
      <c r="K47" s="6">
        <v>3</v>
      </c>
      <c r="L47" s="6">
        <v>7</v>
      </c>
      <c r="M47" s="6">
        <v>4</v>
      </c>
      <c r="N47" s="6">
        <v>4</v>
      </c>
      <c r="O47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3.18093913604921</v>
      </c>
      <c r="P47" s="39"/>
      <c r="Q47" s="3" t="s">
        <v>161</v>
      </c>
      <c r="R47" s="3" t="s">
        <v>162</v>
      </c>
      <c r="S47" s="3" t="s">
        <v>163</v>
      </c>
      <c r="T47" s="3" t="s">
        <v>164</v>
      </c>
      <c r="U47" s="3" t="s">
        <v>165</v>
      </c>
      <c r="V47" s="3" t="s">
        <v>166</v>
      </c>
      <c r="W47" s="3" t="s">
        <v>167</v>
      </c>
      <c r="X47" s="3" t="s">
        <v>168</v>
      </c>
      <c r="Y47" s="40">
        <f t="shared" si="0"/>
        <v>4</v>
      </c>
      <c r="Z47" s="14" t="s">
        <v>162</v>
      </c>
      <c r="AA47" s="14">
        <v>22.678</v>
      </c>
      <c r="AB47" s="14">
        <v>19.965</v>
      </c>
      <c r="AC47" s="14">
        <v>245.727</v>
      </c>
      <c r="AD47" s="14">
        <v>5.826</v>
      </c>
      <c r="AE47" s="14">
        <v>6259.71</v>
      </c>
      <c r="AF47" s="14">
        <v>50.937</v>
      </c>
      <c r="AG47" s="14">
        <v>113.018</v>
      </c>
      <c r="AH47" s="28">
        <f t="shared" si="1"/>
        <v>4</v>
      </c>
      <c r="AI47" s="14" t="s">
        <v>162</v>
      </c>
      <c r="AJ47" s="14">
        <v>0.000365</v>
      </c>
      <c r="AK47" s="14">
        <v>0.000567</v>
      </c>
      <c r="AL47" s="14">
        <v>0</v>
      </c>
      <c r="AM47" s="14">
        <v>0.999068</v>
      </c>
      <c r="AN47" s="14">
        <v>0</v>
      </c>
      <c r="AO47" s="14">
        <v>0</v>
      </c>
      <c r="AP47" s="14">
        <v>0</v>
      </c>
      <c r="AQ47" s="28">
        <f t="shared" si="2"/>
        <v>4</v>
      </c>
      <c r="AR47" s="14" t="s">
        <v>161</v>
      </c>
      <c r="AS47" s="14" t="s">
        <v>162</v>
      </c>
      <c r="AT47" s="14" t="s">
        <v>163</v>
      </c>
      <c r="AU47" s="14" t="s">
        <v>164</v>
      </c>
      <c r="AV47" s="14" t="s">
        <v>165</v>
      </c>
      <c r="AW47" s="14" t="s">
        <v>166</v>
      </c>
      <c r="AX47" s="14" t="s">
        <v>167</v>
      </c>
      <c r="AY47" s="14" t="s">
        <v>168</v>
      </c>
      <c r="AZ47" s="40">
        <f t="shared" si="3"/>
        <v>4</v>
      </c>
      <c r="BA47" s="14" t="s">
        <v>161</v>
      </c>
      <c r="BB47" s="14">
        <v>32.92</v>
      </c>
      <c r="BC47" s="14">
        <v>17.81</v>
      </c>
      <c r="BD47" s="14">
        <v>294.223</v>
      </c>
      <c r="BE47" s="14">
        <v>8.571</v>
      </c>
      <c r="BF47" s="14">
        <v>6649.483</v>
      </c>
      <c r="BG47" s="14">
        <v>49.96</v>
      </c>
      <c r="BH47" s="14">
        <v>165.892</v>
      </c>
      <c r="BI47" s="28">
        <f t="shared" si="4"/>
        <v>4</v>
      </c>
      <c r="BJ47" s="14" t="s">
        <v>161</v>
      </c>
      <c r="BK47" s="14">
        <v>9e-6</v>
      </c>
      <c r="BL47" s="14">
        <v>0.006531</v>
      </c>
      <c r="BM47" s="14">
        <v>0</v>
      </c>
      <c r="BN47" s="14">
        <v>0.99346</v>
      </c>
      <c r="BO47" s="14">
        <v>0</v>
      </c>
      <c r="BP47" s="14">
        <v>0</v>
      </c>
      <c r="BQ47" s="14">
        <v>0</v>
      </c>
      <c r="BR47" s="28">
        <f t="shared" si="5"/>
        <v>4</v>
      </c>
      <c r="BS47" s="28">
        <f t="shared" si="6"/>
        <v>0</v>
      </c>
      <c r="BT47" s="28">
        <f t="shared" si="7"/>
        <v>0</v>
      </c>
      <c r="BU47" s="28">
        <f t="shared" si="8"/>
        <v>1</v>
      </c>
      <c r="BV47" s="28">
        <f t="shared" si="9"/>
        <v>1</v>
      </c>
      <c r="BW47" s="14">
        <v>1</v>
      </c>
      <c r="BX47" s="15">
        <v>1</v>
      </c>
    </row>
    <row r="48" spans="1:76">
      <c r="A48" s="36" t="s">
        <v>56</v>
      </c>
      <c r="B48" s="37">
        <v>0.221255995502539</v>
      </c>
      <c r="C48" s="37">
        <v>-0.497745493828745</v>
      </c>
      <c r="D48" s="37">
        <v>-0.275918412739728</v>
      </c>
      <c r="E48" s="37">
        <v>1.23795443972932</v>
      </c>
      <c r="F48" s="37">
        <v>-0.594876858448979</v>
      </c>
      <c r="G48" s="37">
        <v>0.0364424641170215</v>
      </c>
      <c r="H48" s="37">
        <v>-0.335229224139232</v>
      </c>
      <c r="I48" s="37">
        <v>-0.211010768459526</v>
      </c>
      <c r="J48" s="37">
        <v>-0.0900677944434762</v>
      </c>
      <c r="K48" s="7">
        <v>3</v>
      </c>
      <c r="L48" s="7">
        <v>7</v>
      </c>
      <c r="M48" s="7">
        <v>5</v>
      </c>
      <c r="N48" s="7">
        <v>1</v>
      </c>
      <c r="O48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2.42558987213482</v>
      </c>
      <c r="P48" s="39"/>
      <c r="Q48" s="3" t="s">
        <v>161</v>
      </c>
      <c r="R48" s="3" t="s">
        <v>164</v>
      </c>
      <c r="S48" s="3" t="s">
        <v>163</v>
      </c>
      <c r="T48" s="3" t="s">
        <v>168</v>
      </c>
      <c r="U48" s="3" t="s">
        <v>162</v>
      </c>
      <c r="V48" s="3" t="s">
        <v>165</v>
      </c>
      <c r="W48" s="3" t="s">
        <v>166</v>
      </c>
      <c r="X48" s="3" t="s">
        <v>167</v>
      </c>
      <c r="Y48" s="40">
        <f t="shared" si="0"/>
        <v>1</v>
      </c>
      <c r="Z48" s="14" t="s">
        <v>161</v>
      </c>
      <c r="AA48" s="14">
        <v>20.835</v>
      </c>
      <c r="AB48" s="14">
        <v>17.651</v>
      </c>
      <c r="AC48" s="14">
        <v>258.125</v>
      </c>
      <c r="AD48" s="14">
        <v>21.614</v>
      </c>
      <c r="AE48" s="14">
        <v>6723.09</v>
      </c>
      <c r="AF48" s="14">
        <v>26.084</v>
      </c>
      <c r="AG48" s="14">
        <v>143.255</v>
      </c>
      <c r="AH48" s="28">
        <f t="shared" si="1"/>
        <v>2</v>
      </c>
      <c r="AI48" s="14" t="s">
        <v>161</v>
      </c>
      <c r="AJ48" s="14">
        <v>0.294654</v>
      </c>
      <c r="AK48" s="14">
        <v>0.579187</v>
      </c>
      <c r="AL48" s="14">
        <v>0</v>
      </c>
      <c r="AM48" s="14">
        <v>0.119751</v>
      </c>
      <c r="AN48" s="14">
        <v>0</v>
      </c>
      <c r="AO48" s="14">
        <v>0.006407</v>
      </c>
      <c r="AP48" s="14">
        <v>0</v>
      </c>
      <c r="AQ48" s="28">
        <f t="shared" si="2"/>
        <v>2</v>
      </c>
      <c r="AR48" s="14" t="s">
        <v>161</v>
      </c>
      <c r="AS48" s="14" t="s">
        <v>164</v>
      </c>
      <c r="AT48" s="14" t="s">
        <v>163</v>
      </c>
      <c r="AU48" s="14" t="s">
        <v>168</v>
      </c>
      <c r="AV48" s="14" t="s">
        <v>162</v>
      </c>
      <c r="AW48" s="14" t="s">
        <v>166</v>
      </c>
      <c r="AX48" s="14" t="s">
        <v>165</v>
      </c>
      <c r="AY48" s="14" t="s">
        <v>167</v>
      </c>
      <c r="AZ48" s="40">
        <f t="shared" si="3"/>
        <v>1</v>
      </c>
      <c r="BA48" s="14" t="s">
        <v>161</v>
      </c>
      <c r="BB48" s="14">
        <v>50.559</v>
      </c>
      <c r="BC48" s="14">
        <v>58.526</v>
      </c>
      <c r="BD48" s="14">
        <v>68.997</v>
      </c>
      <c r="BE48" s="14">
        <v>70.956</v>
      </c>
      <c r="BF48" s="14">
        <v>5787.908</v>
      </c>
      <c r="BG48" s="14">
        <v>80.408</v>
      </c>
      <c r="BH48" s="14">
        <v>66.789</v>
      </c>
      <c r="BI48" s="28">
        <f t="shared" si="4"/>
        <v>1</v>
      </c>
      <c r="BJ48" s="14" t="s">
        <v>161</v>
      </c>
      <c r="BK48" s="14">
        <v>0.992506</v>
      </c>
      <c r="BL48" s="14">
        <v>0.007393</v>
      </c>
      <c r="BM48" s="14">
        <v>2e-5</v>
      </c>
      <c r="BN48" s="14">
        <v>2.2e-5</v>
      </c>
      <c r="BO48" s="14">
        <v>0</v>
      </c>
      <c r="BP48" s="14">
        <v>0</v>
      </c>
      <c r="BQ48" s="14">
        <v>5.9e-5</v>
      </c>
      <c r="BR48" s="28">
        <f t="shared" si="5"/>
        <v>1</v>
      </c>
      <c r="BS48" s="28">
        <f t="shared" si="6"/>
        <v>0</v>
      </c>
      <c r="BT48" s="28">
        <f t="shared" si="7"/>
        <v>0</v>
      </c>
      <c r="BU48" s="28">
        <f t="shared" si="8"/>
        <v>1</v>
      </c>
      <c r="BV48" s="28">
        <f t="shared" si="9"/>
        <v>1</v>
      </c>
      <c r="BW48" s="14">
        <v>2</v>
      </c>
      <c r="BX48" s="15">
        <v>3</v>
      </c>
    </row>
    <row r="49" spans="1:76">
      <c r="A49" s="34" t="s">
        <v>57</v>
      </c>
      <c r="B49" s="35">
        <v>-2.66039808432794</v>
      </c>
      <c r="C49" s="35">
        <v>-1.56921420122961</v>
      </c>
      <c r="D49" s="35">
        <v>-0.609464081970471</v>
      </c>
      <c r="E49" s="35">
        <v>1.89468488009636</v>
      </c>
      <c r="F49" s="35">
        <v>-0.616980606030795</v>
      </c>
      <c r="G49" s="35">
        <v>1.42254873912809</v>
      </c>
      <c r="H49" s="35">
        <v>-0.18818055783692</v>
      </c>
      <c r="I49" s="35">
        <v>-0.344609523065204</v>
      </c>
      <c r="J49" s="35">
        <v>-1.38461626582456</v>
      </c>
      <c r="K49" s="6">
        <v>2</v>
      </c>
      <c r="L49" s="6">
        <v>7</v>
      </c>
      <c r="M49" s="6">
        <v>7</v>
      </c>
      <c r="N49" s="6">
        <v>3</v>
      </c>
      <c r="O49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17.9770682712484</v>
      </c>
      <c r="P49" s="39">
        <v>3</v>
      </c>
      <c r="Q49" s="3" t="s">
        <v>166</v>
      </c>
      <c r="R49" s="3" t="s">
        <v>166</v>
      </c>
      <c r="S49" s="3" t="s">
        <v>164</v>
      </c>
      <c r="T49" s="3" t="s">
        <v>163</v>
      </c>
      <c r="U49" s="3" t="s">
        <v>162</v>
      </c>
      <c r="V49" s="3" t="s">
        <v>167</v>
      </c>
      <c r="W49" s="3" t="s">
        <v>165</v>
      </c>
      <c r="X49" s="3" t="s">
        <v>168</v>
      </c>
      <c r="Y49" s="40">
        <f t="shared" si="0"/>
        <v>3</v>
      </c>
      <c r="Z49" s="14" t="s">
        <v>161</v>
      </c>
      <c r="AA49" s="14">
        <v>161.283</v>
      </c>
      <c r="AB49" s="14">
        <v>203.279</v>
      </c>
      <c r="AC49" s="14">
        <v>67.381</v>
      </c>
      <c r="AD49" s="14">
        <v>229.01</v>
      </c>
      <c r="AE49" s="14">
        <v>5450.673</v>
      </c>
      <c r="AF49" s="14">
        <v>316.582</v>
      </c>
      <c r="AG49" s="14">
        <v>108.87</v>
      </c>
      <c r="AH49" s="28">
        <f t="shared" si="1"/>
        <v>3</v>
      </c>
      <c r="AI49" s="14" t="s">
        <v>161</v>
      </c>
      <c r="AJ49" s="14">
        <v>0</v>
      </c>
      <c r="AK49" s="14">
        <v>0</v>
      </c>
      <c r="AL49" s="14">
        <v>1</v>
      </c>
      <c r="AM49" s="14">
        <v>0</v>
      </c>
      <c r="AN49" s="14">
        <v>0</v>
      </c>
      <c r="AO49" s="14">
        <v>0</v>
      </c>
      <c r="AP49" s="14">
        <v>0</v>
      </c>
      <c r="AQ49" s="28">
        <f t="shared" si="2"/>
        <v>3</v>
      </c>
      <c r="AR49" s="14" t="s">
        <v>166</v>
      </c>
      <c r="AS49" s="14" t="s">
        <v>166</v>
      </c>
      <c r="AT49" s="14" t="s">
        <v>168</v>
      </c>
      <c r="AU49" s="14" t="s">
        <v>164</v>
      </c>
      <c r="AV49" s="14" t="s">
        <v>163</v>
      </c>
      <c r="AW49" s="14" t="s">
        <v>162</v>
      </c>
      <c r="AX49" s="14" t="s">
        <v>167</v>
      </c>
      <c r="AY49" s="14" t="s">
        <v>165</v>
      </c>
      <c r="AZ49" s="40">
        <f t="shared" si="3"/>
        <v>3</v>
      </c>
      <c r="BA49" s="14" t="s">
        <v>166</v>
      </c>
      <c r="BB49" s="14">
        <v>149.878</v>
      </c>
      <c r="BC49" s="14">
        <v>193.003</v>
      </c>
      <c r="BD49" s="14">
        <v>4.445</v>
      </c>
      <c r="BE49" s="14">
        <v>232.367</v>
      </c>
      <c r="BF49" s="14">
        <v>5483.083</v>
      </c>
      <c r="BG49" s="14">
        <v>200.221</v>
      </c>
      <c r="BH49" s="14">
        <v>121.2</v>
      </c>
      <c r="BI49" s="28">
        <f t="shared" si="4"/>
        <v>3</v>
      </c>
      <c r="BJ49" s="14" t="s">
        <v>166</v>
      </c>
      <c r="BK49" s="14">
        <v>0</v>
      </c>
      <c r="BL49" s="14">
        <v>0</v>
      </c>
      <c r="BM49" s="14">
        <v>1</v>
      </c>
      <c r="BN49" s="14">
        <v>0</v>
      </c>
      <c r="BO49" s="14">
        <v>0</v>
      </c>
      <c r="BP49" s="14">
        <v>0</v>
      </c>
      <c r="BQ49" s="14">
        <v>0</v>
      </c>
      <c r="BR49" s="28">
        <f t="shared" si="5"/>
        <v>3</v>
      </c>
      <c r="BS49" s="28">
        <f t="shared" si="6"/>
        <v>1</v>
      </c>
      <c r="BT49" s="28">
        <f t="shared" si="7"/>
        <v>1</v>
      </c>
      <c r="BU49" s="28">
        <f t="shared" si="8"/>
        <v>1</v>
      </c>
      <c r="BV49" s="28">
        <f t="shared" si="9"/>
        <v>1</v>
      </c>
      <c r="BW49" s="14">
        <v>7</v>
      </c>
      <c r="BX49" s="15">
        <v>7</v>
      </c>
    </row>
    <row r="50" spans="1:76">
      <c r="A50" s="36" t="s">
        <v>58</v>
      </c>
      <c r="B50" s="37">
        <v>-3.06137852599459</v>
      </c>
      <c r="C50" s="37">
        <v>-1.10740395101502</v>
      </c>
      <c r="D50" s="37">
        <v>-1.64705905855253</v>
      </c>
      <c r="E50" s="37">
        <v>6.28283827709432</v>
      </c>
      <c r="F50" s="37">
        <v>-0.497620369088987</v>
      </c>
      <c r="G50" s="37">
        <v>4.46522105012801</v>
      </c>
      <c r="H50" s="37">
        <v>-2.23438849725454</v>
      </c>
      <c r="I50" s="37">
        <v>-0.0196282344010263</v>
      </c>
      <c r="J50" s="37">
        <v>-1.88499601711907</v>
      </c>
      <c r="K50" s="7">
        <v>1</v>
      </c>
      <c r="L50" s="7">
        <v>4</v>
      </c>
      <c r="M50" s="7">
        <v>7</v>
      </c>
      <c r="N50" s="7">
        <v>3</v>
      </c>
      <c r="O50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81.5171546156685</v>
      </c>
      <c r="P50" s="39"/>
      <c r="Q50" s="3" t="s">
        <v>161</v>
      </c>
      <c r="R50" s="3" t="s">
        <v>166</v>
      </c>
      <c r="S50" s="3" t="s">
        <v>164</v>
      </c>
      <c r="T50" s="3" t="s">
        <v>163</v>
      </c>
      <c r="U50" s="3" t="s">
        <v>162</v>
      </c>
      <c r="V50" s="3" t="s">
        <v>167</v>
      </c>
      <c r="W50" s="3" t="s">
        <v>165</v>
      </c>
      <c r="X50" s="3" t="s">
        <v>168</v>
      </c>
      <c r="Y50" s="40">
        <f t="shared" si="0"/>
        <v>3</v>
      </c>
      <c r="Z50" s="14" t="s">
        <v>166</v>
      </c>
      <c r="AA50" s="14">
        <v>209.779</v>
      </c>
      <c r="AB50" s="14">
        <v>280.705</v>
      </c>
      <c r="AC50" s="14">
        <v>7.521</v>
      </c>
      <c r="AD50" s="14">
        <v>305.297</v>
      </c>
      <c r="AE50" s="14">
        <v>5607.945</v>
      </c>
      <c r="AF50" s="14">
        <v>340.208</v>
      </c>
      <c r="AG50" s="14">
        <v>212.909</v>
      </c>
      <c r="AH50" s="28">
        <f t="shared" si="1"/>
        <v>3</v>
      </c>
      <c r="AI50" s="14" t="s">
        <v>166</v>
      </c>
      <c r="AJ50" s="14">
        <v>0</v>
      </c>
      <c r="AK50" s="14">
        <v>0</v>
      </c>
      <c r="AL50" s="14">
        <v>1</v>
      </c>
      <c r="AM50" s="14">
        <v>0</v>
      </c>
      <c r="AN50" s="14">
        <v>0</v>
      </c>
      <c r="AO50" s="14">
        <v>0</v>
      </c>
      <c r="AP50" s="14">
        <v>0</v>
      </c>
      <c r="AQ50" s="28">
        <f t="shared" si="2"/>
        <v>3</v>
      </c>
      <c r="AR50" s="14" t="s">
        <v>161</v>
      </c>
      <c r="AS50" s="14" t="s">
        <v>166</v>
      </c>
      <c r="AT50" s="14" t="s">
        <v>164</v>
      </c>
      <c r="AU50" s="14" t="s">
        <v>163</v>
      </c>
      <c r="AV50" s="14" t="s">
        <v>162</v>
      </c>
      <c r="AW50" s="14" t="s">
        <v>167</v>
      </c>
      <c r="AX50" s="14" t="s">
        <v>165</v>
      </c>
      <c r="AY50" s="14" t="s">
        <v>168</v>
      </c>
      <c r="AZ50" s="40">
        <f t="shared" si="3"/>
        <v>3</v>
      </c>
      <c r="BA50" s="14" t="s">
        <v>161</v>
      </c>
      <c r="BB50" s="14">
        <v>1599.015</v>
      </c>
      <c r="BC50" s="14">
        <v>1719.625</v>
      </c>
      <c r="BD50" s="14">
        <v>772.592</v>
      </c>
      <c r="BE50" s="14">
        <v>1759.022</v>
      </c>
      <c r="BF50" s="14">
        <v>3348.616</v>
      </c>
      <c r="BG50" s="14">
        <v>1782.111</v>
      </c>
      <c r="BH50" s="14">
        <v>1293.055</v>
      </c>
      <c r="BI50" s="28">
        <f t="shared" si="4"/>
        <v>3</v>
      </c>
      <c r="BJ50" s="14" t="s">
        <v>161</v>
      </c>
      <c r="BK50" s="14">
        <v>0</v>
      </c>
      <c r="BL50" s="14">
        <v>0</v>
      </c>
      <c r="BM50" s="14">
        <v>1</v>
      </c>
      <c r="BN50" s="14">
        <v>0</v>
      </c>
      <c r="BO50" s="14">
        <v>0</v>
      </c>
      <c r="BP50" s="14">
        <v>0</v>
      </c>
      <c r="BQ50" s="14">
        <v>0</v>
      </c>
      <c r="BR50" s="28">
        <f t="shared" si="5"/>
        <v>3</v>
      </c>
      <c r="BS50" s="28">
        <f t="shared" si="6"/>
        <v>0</v>
      </c>
      <c r="BT50" s="28">
        <f t="shared" si="7"/>
        <v>0</v>
      </c>
      <c r="BU50" s="28">
        <f t="shared" si="8"/>
        <v>1</v>
      </c>
      <c r="BV50" s="28">
        <f t="shared" si="9"/>
        <v>1</v>
      </c>
      <c r="BW50" s="14">
        <v>7</v>
      </c>
      <c r="BX50" s="15">
        <v>7</v>
      </c>
    </row>
    <row r="51" spans="1:76">
      <c r="A51" s="34" t="s">
        <v>59</v>
      </c>
      <c r="B51" s="35">
        <v>-1.23435652357793</v>
      </c>
      <c r="C51" s="35">
        <v>-1.0557087737522</v>
      </c>
      <c r="D51" s="35">
        <v>-0.422364364465691</v>
      </c>
      <c r="E51" s="35">
        <v>1.11854890511713</v>
      </c>
      <c r="F51" s="35">
        <v>-0.804125668890174</v>
      </c>
      <c r="G51" s="35">
        <v>0.0744758680045207</v>
      </c>
      <c r="H51" s="35">
        <v>-1.79450128070505</v>
      </c>
      <c r="I51" s="35">
        <v>0.387621591739756</v>
      </c>
      <c r="J51" s="35">
        <v>0.0970685045526733</v>
      </c>
      <c r="K51" s="6">
        <v>2</v>
      </c>
      <c r="L51" s="6">
        <v>7</v>
      </c>
      <c r="M51" s="6">
        <v>7</v>
      </c>
      <c r="N51" s="6">
        <v>3</v>
      </c>
      <c r="O51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8.09977273748013</v>
      </c>
      <c r="P51" s="39"/>
      <c r="Q51" s="3" t="s">
        <v>161</v>
      </c>
      <c r="R51" s="3" t="s">
        <v>166</v>
      </c>
      <c r="S51" s="3" t="s">
        <v>168</v>
      </c>
      <c r="T51" s="3" t="s">
        <v>164</v>
      </c>
      <c r="U51" s="3" t="s">
        <v>162</v>
      </c>
      <c r="V51" s="3" t="s">
        <v>163</v>
      </c>
      <c r="W51" s="3" t="s">
        <v>167</v>
      </c>
      <c r="X51" s="3" t="s">
        <v>165</v>
      </c>
      <c r="Y51" s="40">
        <f t="shared" si="0"/>
        <v>3</v>
      </c>
      <c r="Z51" s="14" t="s">
        <v>161</v>
      </c>
      <c r="AA51" s="14">
        <v>126.519</v>
      </c>
      <c r="AB51" s="14">
        <v>147.653</v>
      </c>
      <c r="AC51" s="14">
        <v>57.169</v>
      </c>
      <c r="AD51" s="14">
        <v>151.557</v>
      </c>
      <c r="AE51" s="14">
        <v>5530.163</v>
      </c>
      <c r="AF51" s="14">
        <v>204.304</v>
      </c>
      <c r="AG51" s="14">
        <v>123.361</v>
      </c>
      <c r="AH51" s="28">
        <f t="shared" si="1"/>
        <v>3</v>
      </c>
      <c r="AI51" s="14" t="s">
        <v>161</v>
      </c>
      <c r="AJ51" s="14">
        <v>0</v>
      </c>
      <c r="AK51" s="14">
        <v>0</v>
      </c>
      <c r="AL51" s="14">
        <v>1</v>
      </c>
      <c r="AM51" s="14">
        <v>0</v>
      </c>
      <c r="AN51" s="14">
        <v>0</v>
      </c>
      <c r="AO51" s="14">
        <v>0</v>
      </c>
      <c r="AP51" s="14">
        <v>0</v>
      </c>
      <c r="AQ51" s="28">
        <f t="shared" si="2"/>
        <v>3</v>
      </c>
      <c r="AR51" s="14" t="s">
        <v>161</v>
      </c>
      <c r="AS51" s="14" t="s">
        <v>166</v>
      </c>
      <c r="AT51" s="14" t="s">
        <v>168</v>
      </c>
      <c r="AU51" s="14" t="s">
        <v>162</v>
      </c>
      <c r="AV51" s="14" t="s">
        <v>164</v>
      </c>
      <c r="AW51" s="14" t="s">
        <v>163</v>
      </c>
      <c r="AX51" s="14" t="s">
        <v>167</v>
      </c>
      <c r="AY51" s="14" t="s">
        <v>165</v>
      </c>
      <c r="AZ51" s="40">
        <f t="shared" si="3"/>
        <v>3</v>
      </c>
      <c r="BA51" s="14" t="s">
        <v>161</v>
      </c>
      <c r="BB51" s="14">
        <v>168.446</v>
      </c>
      <c r="BC51" s="14">
        <v>183.088</v>
      </c>
      <c r="BD51" s="14">
        <v>98.167</v>
      </c>
      <c r="BE51" s="14">
        <v>166.498</v>
      </c>
      <c r="BF51" s="14">
        <v>4918.799</v>
      </c>
      <c r="BG51" s="14">
        <v>256.327</v>
      </c>
      <c r="BH51" s="14">
        <v>153.857</v>
      </c>
      <c r="BI51" s="28">
        <f t="shared" si="4"/>
        <v>3</v>
      </c>
      <c r="BJ51" s="14" t="s">
        <v>161</v>
      </c>
      <c r="BK51" s="14">
        <v>0</v>
      </c>
      <c r="BL51" s="14">
        <v>0</v>
      </c>
      <c r="BM51" s="14">
        <v>1</v>
      </c>
      <c r="BN51" s="14">
        <v>0</v>
      </c>
      <c r="BO51" s="14">
        <v>0</v>
      </c>
      <c r="BP51" s="14">
        <v>0</v>
      </c>
      <c r="BQ51" s="14">
        <v>0</v>
      </c>
      <c r="BR51" s="28">
        <f t="shared" si="5"/>
        <v>3</v>
      </c>
      <c r="BS51" s="28">
        <f t="shared" si="6"/>
        <v>0</v>
      </c>
      <c r="BT51" s="28">
        <f t="shared" si="7"/>
        <v>0</v>
      </c>
      <c r="BU51" s="28">
        <f t="shared" si="8"/>
        <v>1</v>
      </c>
      <c r="BV51" s="28">
        <f t="shared" si="9"/>
        <v>1</v>
      </c>
      <c r="BW51" s="14">
        <v>7</v>
      </c>
      <c r="BX51" s="15">
        <v>7</v>
      </c>
    </row>
    <row r="52" spans="1:76">
      <c r="A52" s="36" t="s">
        <v>60</v>
      </c>
      <c r="B52" s="37">
        <v>1.31114765427051</v>
      </c>
      <c r="C52" s="37">
        <v>1.23128586835529</v>
      </c>
      <c r="D52" s="37">
        <v>3.43974338452186</v>
      </c>
      <c r="E52" s="37">
        <v>0.312561546484849</v>
      </c>
      <c r="F52" s="37">
        <v>-0.0850170808950807</v>
      </c>
      <c r="G52" s="37">
        <v>-0.132594886494085</v>
      </c>
      <c r="H52" s="37">
        <v>0.654631447856874</v>
      </c>
      <c r="I52" s="37">
        <v>0.0826169878028333</v>
      </c>
      <c r="J52" s="37">
        <v>0.415968003239743</v>
      </c>
      <c r="K52" s="7">
        <v>4</v>
      </c>
      <c r="L52" s="7">
        <v>6</v>
      </c>
      <c r="M52" s="7">
        <v>6</v>
      </c>
      <c r="N52" s="7">
        <v>2</v>
      </c>
      <c r="O52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15.7979089194978</v>
      </c>
      <c r="P52" s="39"/>
      <c r="Q52" s="3" t="s">
        <v>161</v>
      </c>
      <c r="R52" s="3" t="s">
        <v>163</v>
      </c>
      <c r="S52" s="3" t="s">
        <v>162</v>
      </c>
      <c r="T52" s="3" t="s">
        <v>165</v>
      </c>
      <c r="U52" s="3" t="s">
        <v>164</v>
      </c>
      <c r="V52" s="3" t="s">
        <v>168</v>
      </c>
      <c r="W52" s="3" t="s">
        <v>166</v>
      </c>
      <c r="X52" s="3" t="s">
        <v>167</v>
      </c>
      <c r="Y52" s="40">
        <f t="shared" si="0"/>
        <v>2</v>
      </c>
      <c r="Z52" s="14" t="s">
        <v>161</v>
      </c>
      <c r="AA52" s="14">
        <v>19.108</v>
      </c>
      <c r="AB52" s="14">
        <v>16.439</v>
      </c>
      <c r="AC52" s="14">
        <v>276.141</v>
      </c>
      <c r="AD52" s="14">
        <v>38.202</v>
      </c>
      <c r="AE52" s="14">
        <v>6873.5</v>
      </c>
      <c r="AF52" s="14">
        <v>18.351</v>
      </c>
      <c r="AG52" s="14">
        <v>87.881</v>
      </c>
      <c r="AH52" s="28">
        <f t="shared" si="1"/>
        <v>2</v>
      </c>
      <c r="AI52" s="14" t="s">
        <v>161</v>
      </c>
      <c r="AJ52" s="14">
        <v>0.33817</v>
      </c>
      <c r="AK52" s="14">
        <v>0.513722</v>
      </c>
      <c r="AL52" s="14">
        <v>0</v>
      </c>
      <c r="AM52" s="14">
        <v>1.4e-5</v>
      </c>
      <c r="AN52" s="14">
        <v>0</v>
      </c>
      <c r="AO52" s="14">
        <v>0.148094</v>
      </c>
      <c r="AP52" s="14">
        <v>0</v>
      </c>
      <c r="AQ52" s="28">
        <f t="shared" si="2"/>
        <v>2</v>
      </c>
      <c r="AR52" s="14" t="s">
        <v>161</v>
      </c>
      <c r="AS52" s="14" t="s">
        <v>163</v>
      </c>
      <c r="AT52" s="14" t="s">
        <v>162</v>
      </c>
      <c r="AU52" s="14" t="s">
        <v>164</v>
      </c>
      <c r="AV52" s="14" t="s">
        <v>165</v>
      </c>
      <c r="AW52" s="14" t="s">
        <v>168</v>
      </c>
      <c r="AX52" s="14" t="s">
        <v>166</v>
      </c>
      <c r="AY52" s="14" t="s">
        <v>167</v>
      </c>
      <c r="AZ52" s="40">
        <f t="shared" si="3"/>
        <v>2</v>
      </c>
      <c r="BA52" s="14" t="s">
        <v>161</v>
      </c>
      <c r="BB52" s="14">
        <v>117.675</v>
      </c>
      <c r="BC52" s="14">
        <v>93.736</v>
      </c>
      <c r="BD52" s="14">
        <v>210.803</v>
      </c>
      <c r="BE52" s="14">
        <v>104.574</v>
      </c>
      <c r="BF52" s="14">
        <v>5367.21</v>
      </c>
      <c r="BG52" s="14">
        <v>137.066</v>
      </c>
      <c r="BH52" s="14">
        <v>137.485</v>
      </c>
      <c r="BI52" s="28">
        <f t="shared" si="4"/>
        <v>2</v>
      </c>
      <c r="BJ52" s="14" t="s">
        <v>161</v>
      </c>
      <c r="BK52" s="14">
        <v>1.6e-5</v>
      </c>
      <c r="BL52" s="14">
        <v>0.993382</v>
      </c>
      <c r="BM52" s="14">
        <v>0</v>
      </c>
      <c r="BN52" s="14">
        <v>0.006602</v>
      </c>
      <c r="BO52" s="14">
        <v>0</v>
      </c>
      <c r="BP52" s="14">
        <v>0</v>
      </c>
      <c r="BQ52" s="14">
        <v>0</v>
      </c>
      <c r="BR52" s="28">
        <f t="shared" si="5"/>
        <v>2</v>
      </c>
      <c r="BS52" s="28">
        <f t="shared" si="6"/>
        <v>0</v>
      </c>
      <c r="BT52" s="28">
        <f t="shared" si="7"/>
        <v>0</v>
      </c>
      <c r="BU52" s="28">
        <f t="shared" si="8"/>
        <v>1</v>
      </c>
      <c r="BV52" s="28">
        <f t="shared" si="9"/>
        <v>1</v>
      </c>
      <c r="BW52" s="14">
        <v>4</v>
      </c>
      <c r="BX52" s="15">
        <v>6</v>
      </c>
    </row>
    <row r="53" spans="1:76">
      <c r="A53" s="34" t="s">
        <v>61</v>
      </c>
      <c r="B53" s="35">
        <v>-0.178102908697022</v>
      </c>
      <c r="C53" s="35">
        <v>1.42014558262215</v>
      </c>
      <c r="D53" s="35">
        <v>1.3456124723017</v>
      </c>
      <c r="E53" s="35">
        <v>0.76033230128056</v>
      </c>
      <c r="F53" s="35">
        <v>-0.861595412602897</v>
      </c>
      <c r="G53" s="35">
        <v>-1.19753019534406</v>
      </c>
      <c r="H53" s="35">
        <v>0.164164067489786</v>
      </c>
      <c r="I53" s="35">
        <v>-0.0795235702508227</v>
      </c>
      <c r="J53" s="35">
        <v>0.000745897113289273</v>
      </c>
      <c r="K53" s="6">
        <v>4</v>
      </c>
      <c r="L53" s="6">
        <v>6</v>
      </c>
      <c r="M53" s="6">
        <v>6</v>
      </c>
      <c r="N53" s="6">
        <v>2</v>
      </c>
      <c r="O53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6.64701187533386</v>
      </c>
      <c r="P53" s="39"/>
      <c r="Q53" s="3" t="s">
        <v>161</v>
      </c>
      <c r="R53" s="3" t="s">
        <v>163</v>
      </c>
      <c r="S53" s="3" t="s">
        <v>162</v>
      </c>
      <c r="T53" s="3" t="s">
        <v>165</v>
      </c>
      <c r="U53" s="3" t="s">
        <v>164</v>
      </c>
      <c r="V53" s="3" t="s">
        <v>168</v>
      </c>
      <c r="W53" s="3" t="s">
        <v>166</v>
      </c>
      <c r="X53" s="3" t="s">
        <v>167</v>
      </c>
      <c r="Y53" s="40">
        <f t="shared" si="0"/>
        <v>2</v>
      </c>
      <c r="Z53" s="14" t="s">
        <v>161</v>
      </c>
      <c r="AA53" s="14">
        <v>151.11</v>
      </c>
      <c r="AB53" s="14">
        <v>121.897</v>
      </c>
      <c r="AC53" s="14">
        <v>342.931</v>
      </c>
      <c r="AD53" s="14">
        <v>127.812</v>
      </c>
      <c r="AE53" s="14">
        <v>5444.948</v>
      </c>
      <c r="AF53" s="14">
        <v>143.481</v>
      </c>
      <c r="AG53" s="14">
        <v>156.028</v>
      </c>
      <c r="AH53" s="28">
        <f t="shared" si="1"/>
        <v>2</v>
      </c>
      <c r="AI53" s="14" t="s">
        <v>161</v>
      </c>
      <c r="AJ53" s="14">
        <v>1e-6</v>
      </c>
      <c r="AK53" s="14">
        <v>0.927693</v>
      </c>
      <c r="AL53" s="14">
        <v>0</v>
      </c>
      <c r="AM53" s="14">
        <v>0.072292</v>
      </c>
      <c r="AN53" s="14">
        <v>0</v>
      </c>
      <c r="AO53" s="14">
        <v>1.4e-5</v>
      </c>
      <c r="AP53" s="14">
        <v>0</v>
      </c>
      <c r="AQ53" s="28">
        <f t="shared" si="2"/>
        <v>2</v>
      </c>
      <c r="AR53" s="14" t="s">
        <v>161</v>
      </c>
      <c r="AS53" s="14" t="s">
        <v>163</v>
      </c>
      <c r="AT53" s="14" t="s">
        <v>162</v>
      </c>
      <c r="AU53" s="14" t="s">
        <v>165</v>
      </c>
      <c r="AV53" s="14" t="s">
        <v>164</v>
      </c>
      <c r="AW53" s="14" t="s">
        <v>168</v>
      </c>
      <c r="AX53" s="14" t="s">
        <v>166</v>
      </c>
      <c r="AY53" s="14" t="s">
        <v>167</v>
      </c>
      <c r="AZ53" s="40">
        <f t="shared" si="3"/>
        <v>2</v>
      </c>
      <c r="BA53" s="14" t="s">
        <v>161</v>
      </c>
      <c r="BB53" s="14">
        <v>56.243</v>
      </c>
      <c r="BC53" s="14">
        <v>27.143</v>
      </c>
      <c r="BD53" s="14">
        <v>197.143</v>
      </c>
      <c r="BE53" s="14">
        <v>43.365</v>
      </c>
      <c r="BF53" s="14">
        <v>6127.88</v>
      </c>
      <c r="BG53" s="14">
        <v>50.698</v>
      </c>
      <c r="BH53" s="14">
        <v>103.42</v>
      </c>
      <c r="BI53" s="28">
        <f t="shared" si="4"/>
        <v>2</v>
      </c>
      <c r="BJ53" s="14" t="s">
        <v>161</v>
      </c>
      <c r="BK53" s="14">
        <v>1e-6</v>
      </c>
      <c r="BL53" s="14">
        <v>0.999543</v>
      </c>
      <c r="BM53" s="14">
        <v>0</v>
      </c>
      <c r="BN53" s="14">
        <v>0.00045</v>
      </c>
      <c r="BO53" s="14">
        <v>0</v>
      </c>
      <c r="BP53" s="14">
        <v>6e-6</v>
      </c>
      <c r="BQ53" s="14">
        <v>0</v>
      </c>
      <c r="BR53" s="28">
        <f t="shared" si="5"/>
        <v>2</v>
      </c>
      <c r="BS53" s="28">
        <f t="shared" si="6"/>
        <v>0</v>
      </c>
      <c r="BT53" s="28">
        <f t="shared" si="7"/>
        <v>0</v>
      </c>
      <c r="BU53" s="28">
        <f t="shared" si="8"/>
        <v>1</v>
      </c>
      <c r="BV53" s="28">
        <f t="shared" si="9"/>
        <v>1</v>
      </c>
      <c r="BW53" s="14">
        <v>4</v>
      </c>
      <c r="BX53" s="15">
        <v>1</v>
      </c>
    </row>
    <row r="54" spans="1:76">
      <c r="A54" s="36" t="s">
        <v>62</v>
      </c>
      <c r="B54" s="37">
        <v>0.01960094510903</v>
      </c>
      <c r="C54" s="37">
        <v>-0.782068968774296</v>
      </c>
      <c r="D54" s="37">
        <v>-1.30612179554382</v>
      </c>
      <c r="E54" s="37">
        <v>-0.224763359270004</v>
      </c>
      <c r="F54" s="37">
        <v>0.9405968069012</v>
      </c>
      <c r="G54" s="37">
        <v>-0.157950489085751</v>
      </c>
      <c r="H54" s="37">
        <v>-0.713779409452887</v>
      </c>
      <c r="I54" s="37">
        <v>-0.294585992985594</v>
      </c>
      <c r="J54" s="37">
        <v>-1.04230027496281</v>
      </c>
      <c r="K54" s="7">
        <v>3</v>
      </c>
      <c r="L54" s="7">
        <v>7</v>
      </c>
      <c r="M54" s="7">
        <v>5</v>
      </c>
      <c r="N54" s="7">
        <v>1</v>
      </c>
      <c r="O54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4.96081130739873</v>
      </c>
      <c r="P54" s="39"/>
      <c r="Q54" s="3" t="s">
        <v>161</v>
      </c>
      <c r="R54" s="3" t="s">
        <v>164</v>
      </c>
      <c r="S54" s="3" t="s">
        <v>163</v>
      </c>
      <c r="T54" s="3" t="s">
        <v>168</v>
      </c>
      <c r="U54" s="3" t="s">
        <v>162</v>
      </c>
      <c r="V54" s="3" t="s">
        <v>165</v>
      </c>
      <c r="W54" s="3" t="s">
        <v>166</v>
      </c>
      <c r="X54" s="3" t="s">
        <v>167</v>
      </c>
      <c r="Y54" s="40">
        <f t="shared" si="0"/>
        <v>1</v>
      </c>
      <c r="Z54" s="14" t="s">
        <v>164</v>
      </c>
      <c r="AA54" s="14">
        <v>4.46</v>
      </c>
      <c r="AB54" s="14">
        <v>20.42</v>
      </c>
      <c r="AC54" s="14">
        <v>190.698</v>
      </c>
      <c r="AD54" s="14">
        <v>44.875</v>
      </c>
      <c r="AE54" s="14">
        <v>6699.786</v>
      </c>
      <c r="AF54" s="14">
        <v>53.602</v>
      </c>
      <c r="AG54" s="14">
        <v>104.578</v>
      </c>
      <c r="AH54" s="28">
        <f t="shared" si="1"/>
        <v>1</v>
      </c>
      <c r="AI54" s="14" t="s">
        <v>164</v>
      </c>
      <c r="AJ54" s="14">
        <v>0.999863</v>
      </c>
      <c r="AK54" s="14">
        <v>0.000137</v>
      </c>
      <c r="AL54" s="14">
        <v>0</v>
      </c>
      <c r="AM54" s="14">
        <v>0</v>
      </c>
      <c r="AN54" s="14">
        <v>0</v>
      </c>
      <c r="AO54" s="14">
        <v>0</v>
      </c>
      <c r="AP54" s="14">
        <v>0</v>
      </c>
      <c r="AQ54" s="28">
        <f t="shared" si="2"/>
        <v>1</v>
      </c>
      <c r="AR54" s="14" t="s">
        <v>161</v>
      </c>
      <c r="AS54" s="14" t="s">
        <v>164</v>
      </c>
      <c r="AT54" s="14" t="s">
        <v>163</v>
      </c>
      <c r="AU54" s="14" t="s">
        <v>168</v>
      </c>
      <c r="AV54" s="14" t="s">
        <v>162</v>
      </c>
      <c r="AW54" s="14" t="s">
        <v>165</v>
      </c>
      <c r="AX54" s="14" t="s">
        <v>166</v>
      </c>
      <c r="AY54" s="14" t="s">
        <v>167</v>
      </c>
      <c r="AZ54" s="40">
        <f t="shared" si="3"/>
        <v>1</v>
      </c>
      <c r="BA54" s="14" t="s">
        <v>161</v>
      </c>
      <c r="BB54" s="14">
        <v>22.67</v>
      </c>
      <c r="BC54" s="14">
        <v>51.685</v>
      </c>
      <c r="BD54" s="14">
        <v>148.516</v>
      </c>
      <c r="BE54" s="14">
        <v>80.335</v>
      </c>
      <c r="BF54" s="14">
        <v>6822.72</v>
      </c>
      <c r="BG54" s="14">
        <v>84.184</v>
      </c>
      <c r="BH54" s="14">
        <v>51.213</v>
      </c>
      <c r="BI54" s="28">
        <f t="shared" si="4"/>
        <v>1</v>
      </c>
      <c r="BJ54" s="14" t="s">
        <v>161</v>
      </c>
      <c r="BK54" s="14">
        <v>1</v>
      </c>
      <c r="BL54" s="14">
        <v>0</v>
      </c>
      <c r="BM54" s="14">
        <v>0</v>
      </c>
      <c r="BN54" s="14">
        <v>0</v>
      </c>
      <c r="BO54" s="14">
        <v>0</v>
      </c>
      <c r="BP54" s="14">
        <v>0</v>
      </c>
      <c r="BQ54" s="14">
        <v>0</v>
      </c>
      <c r="BR54" s="28">
        <f t="shared" si="5"/>
        <v>1</v>
      </c>
      <c r="BS54" s="28">
        <f t="shared" si="6"/>
        <v>0</v>
      </c>
      <c r="BT54" s="28">
        <f t="shared" si="7"/>
        <v>0</v>
      </c>
      <c r="BU54" s="28">
        <f t="shared" si="8"/>
        <v>1</v>
      </c>
      <c r="BV54" s="28">
        <f t="shared" si="9"/>
        <v>1</v>
      </c>
      <c r="BW54" s="14">
        <v>6</v>
      </c>
      <c r="BX54" s="15">
        <v>4</v>
      </c>
    </row>
    <row r="55" spans="1:76">
      <c r="A55" s="34" t="s">
        <v>63</v>
      </c>
      <c r="B55" s="35">
        <v>-1.1508223555761</v>
      </c>
      <c r="C55" s="35">
        <v>-0.680746421339154</v>
      </c>
      <c r="D55" s="35">
        <v>0.347747312276205</v>
      </c>
      <c r="E55" s="35">
        <v>-0.224763359270004</v>
      </c>
      <c r="F55" s="35">
        <v>-0.384154464835663</v>
      </c>
      <c r="G55" s="35">
        <v>0.00263499399480038</v>
      </c>
      <c r="H55" s="35">
        <v>-1.26501164725696</v>
      </c>
      <c r="I55" s="35">
        <v>-0.164186658188188</v>
      </c>
      <c r="J55" s="35">
        <v>0.56983726436521</v>
      </c>
      <c r="K55" s="6">
        <v>3</v>
      </c>
      <c r="L55" s="6">
        <v>7</v>
      </c>
      <c r="M55" s="6">
        <v>4</v>
      </c>
      <c r="N55" s="6">
        <v>4</v>
      </c>
      <c r="O55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4.05876237545398</v>
      </c>
      <c r="P55" s="39"/>
      <c r="Q55" s="3" t="s">
        <v>161</v>
      </c>
      <c r="R55" s="3" t="s">
        <v>162</v>
      </c>
      <c r="S55" s="3" t="s">
        <v>164</v>
      </c>
      <c r="T55" s="3" t="s">
        <v>163</v>
      </c>
      <c r="U55" s="3" t="s">
        <v>165</v>
      </c>
      <c r="V55" s="3" t="s">
        <v>168</v>
      </c>
      <c r="W55" s="3" t="s">
        <v>166</v>
      </c>
      <c r="X55" s="3" t="s">
        <v>167</v>
      </c>
      <c r="Y55" s="40">
        <f t="shared" si="0"/>
        <v>4</v>
      </c>
      <c r="Z55" s="14" t="s">
        <v>161</v>
      </c>
      <c r="AA55" s="14">
        <v>36.485</v>
      </c>
      <c r="AB55" s="14">
        <v>60.453</v>
      </c>
      <c r="AC55" s="14">
        <v>160.794</v>
      </c>
      <c r="AD55" s="14">
        <v>49.687</v>
      </c>
      <c r="AE55" s="14">
        <v>6181.926</v>
      </c>
      <c r="AF55" s="14">
        <v>143.96</v>
      </c>
      <c r="AG55" s="14">
        <v>86.105</v>
      </c>
      <c r="AH55" s="28">
        <f t="shared" si="1"/>
        <v>1</v>
      </c>
      <c r="AI55" s="14" t="s">
        <v>161</v>
      </c>
      <c r="AJ55" s="14">
        <v>0.999183</v>
      </c>
      <c r="AK55" s="14">
        <v>2e-6</v>
      </c>
      <c r="AL55" s="14">
        <v>0</v>
      </c>
      <c r="AM55" s="14">
        <v>0.000815</v>
      </c>
      <c r="AN55" s="14">
        <v>0</v>
      </c>
      <c r="AO55" s="14">
        <v>0</v>
      </c>
      <c r="AP55" s="14">
        <v>0</v>
      </c>
      <c r="AQ55" s="28">
        <f t="shared" si="2"/>
        <v>1</v>
      </c>
      <c r="AR55" s="14" t="s">
        <v>161</v>
      </c>
      <c r="AS55" s="14" t="s">
        <v>162</v>
      </c>
      <c r="AT55" s="14" t="s">
        <v>163</v>
      </c>
      <c r="AU55" s="14" t="s">
        <v>164</v>
      </c>
      <c r="AV55" s="14" t="s">
        <v>165</v>
      </c>
      <c r="AW55" s="14" t="s">
        <v>168</v>
      </c>
      <c r="AX55" s="14" t="s">
        <v>166</v>
      </c>
      <c r="AY55" s="14" t="s">
        <v>167</v>
      </c>
      <c r="AZ55" s="40">
        <f t="shared" si="3"/>
        <v>4</v>
      </c>
      <c r="BA55" s="14" t="s">
        <v>161</v>
      </c>
      <c r="BB55" s="14">
        <v>26.014</v>
      </c>
      <c r="BC55" s="14">
        <v>22.334</v>
      </c>
      <c r="BD55" s="14">
        <v>211.455</v>
      </c>
      <c r="BE55" s="14">
        <v>16.65</v>
      </c>
      <c r="BF55" s="14">
        <v>6340.902</v>
      </c>
      <c r="BG55" s="14">
        <v>92.434</v>
      </c>
      <c r="BH55" s="14">
        <v>108.351</v>
      </c>
      <c r="BI55" s="28">
        <f t="shared" si="4"/>
        <v>4</v>
      </c>
      <c r="BJ55" s="14" t="s">
        <v>161</v>
      </c>
      <c r="BK55" s="14">
        <v>0.01464</v>
      </c>
      <c r="BL55" s="14">
        <v>0.036886</v>
      </c>
      <c r="BM55" s="14">
        <v>0</v>
      </c>
      <c r="BN55" s="14">
        <v>0.948474</v>
      </c>
      <c r="BO55" s="14">
        <v>0</v>
      </c>
      <c r="BP55" s="14">
        <v>0</v>
      </c>
      <c r="BQ55" s="14">
        <v>0</v>
      </c>
      <c r="BR55" s="28">
        <f t="shared" si="5"/>
        <v>4</v>
      </c>
      <c r="BS55" s="28">
        <f t="shared" si="6"/>
        <v>0</v>
      </c>
      <c r="BT55" s="28">
        <f t="shared" si="7"/>
        <v>0</v>
      </c>
      <c r="BU55" s="28">
        <f t="shared" si="8"/>
        <v>1</v>
      </c>
      <c r="BV55" s="28">
        <f t="shared" si="9"/>
        <v>1</v>
      </c>
      <c r="BW55" s="14">
        <v>2</v>
      </c>
      <c r="BX55" s="15">
        <v>3</v>
      </c>
    </row>
    <row r="56" spans="1:76">
      <c r="A56" s="36" t="s">
        <v>64</v>
      </c>
      <c r="B56" s="37">
        <v>-1.29311268988483</v>
      </c>
      <c r="C56" s="37">
        <v>-0.599757310294058</v>
      </c>
      <c r="D56" s="37">
        <v>-0.761915703641032</v>
      </c>
      <c r="E56" s="37">
        <v>-0.224763359270004</v>
      </c>
      <c r="F56" s="37">
        <v>0.653248088337587</v>
      </c>
      <c r="G56" s="37">
        <v>0.374517165339234</v>
      </c>
      <c r="H56" s="37">
        <v>-1.2128293968026</v>
      </c>
      <c r="I56" s="37">
        <v>-0.0957418201211917</v>
      </c>
      <c r="J56" s="37">
        <v>0.640622749554465</v>
      </c>
      <c r="K56" s="7">
        <v>3</v>
      </c>
      <c r="L56" s="7">
        <v>7</v>
      </c>
      <c r="M56" s="7">
        <v>4</v>
      </c>
      <c r="N56" s="7">
        <v>4</v>
      </c>
      <c r="O56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5.12039868828336</v>
      </c>
      <c r="P56" s="39"/>
      <c r="Q56" s="3" t="s">
        <v>161</v>
      </c>
      <c r="R56" s="3" t="s">
        <v>164</v>
      </c>
      <c r="S56" s="3" t="s">
        <v>162</v>
      </c>
      <c r="T56" s="3" t="s">
        <v>163</v>
      </c>
      <c r="U56" s="3" t="s">
        <v>168</v>
      </c>
      <c r="V56" s="3" t="s">
        <v>165</v>
      </c>
      <c r="W56" s="3" t="s">
        <v>166</v>
      </c>
      <c r="X56" s="3" t="s">
        <v>167</v>
      </c>
      <c r="Y56" s="40">
        <f t="shared" si="0"/>
        <v>1</v>
      </c>
      <c r="Z56" s="14" t="s">
        <v>161</v>
      </c>
      <c r="AA56" s="14">
        <v>203.324</v>
      </c>
      <c r="AB56" s="14">
        <v>192.631</v>
      </c>
      <c r="AC56" s="14">
        <v>217.997</v>
      </c>
      <c r="AD56" s="14">
        <v>180.13</v>
      </c>
      <c r="AE56" s="14">
        <v>5364.984</v>
      </c>
      <c r="AF56" s="14">
        <v>258.549</v>
      </c>
      <c r="AG56" s="14">
        <v>156.382</v>
      </c>
      <c r="AH56" s="28">
        <f t="shared" si="1"/>
        <v>7</v>
      </c>
      <c r="AI56" s="14" t="s">
        <v>161</v>
      </c>
      <c r="AJ56" s="14">
        <v>0</v>
      </c>
      <c r="AK56" s="14">
        <v>0</v>
      </c>
      <c r="AL56" s="14">
        <v>0</v>
      </c>
      <c r="AM56" s="14">
        <v>2.1e-5</v>
      </c>
      <c r="AN56" s="14">
        <v>0</v>
      </c>
      <c r="AO56" s="14">
        <v>0</v>
      </c>
      <c r="AP56" s="14">
        <v>0.999979</v>
      </c>
      <c r="AQ56" s="28">
        <f t="shared" si="2"/>
        <v>7</v>
      </c>
      <c r="AR56" s="14" t="s">
        <v>161</v>
      </c>
      <c r="AS56" s="14" t="s">
        <v>164</v>
      </c>
      <c r="AT56" s="14" t="s">
        <v>162</v>
      </c>
      <c r="AU56" s="14" t="s">
        <v>163</v>
      </c>
      <c r="AV56" s="14" t="s">
        <v>168</v>
      </c>
      <c r="AW56" s="14" t="s">
        <v>165</v>
      </c>
      <c r="AX56" s="14" t="s">
        <v>166</v>
      </c>
      <c r="AY56" s="14" t="s">
        <v>167</v>
      </c>
      <c r="AZ56" s="40">
        <f t="shared" si="3"/>
        <v>1</v>
      </c>
      <c r="BA56" s="14" t="s">
        <v>161</v>
      </c>
      <c r="BB56" s="14">
        <v>31.953</v>
      </c>
      <c r="BC56" s="14">
        <v>53.641</v>
      </c>
      <c r="BD56" s="14">
        <v>141.027</v>
      </c>
      <c r="BE56" s="14">
        <v>40.902</v>
      </c>
      <c r="BF56" s="14">
        <v>6013.427</v>
      </c>
      <c r="BG56" s="14">
        <v>116.12</v>
      </c>
      <c r="BH56" s="14">
        <v>69.544</v>
      </c>
      <c r="BI56" s="28">
        <f t="shared" si="4"/>
        <v>1</v>
      </c>
      <c r="BJ56" s="14" t="s">
        <v>161</v>
      </c>
      <c r="BK56" s="14">
        <v>0.993202</v>
      </c>
      <c r="BL56" s="14">
        <v>8e-6</v>
      </c>
      <c r="BM56" s="14">
        <v>0</v>
      </c>
      <c r="BN56" s="14">
        <v>0.00679</v>
      </c>
      <c r="BO56" s="14">
        <v>0</v>
      </c>
      <c r="BP56" s="14">
        <v>0</v>
      </c>
      <c r="BQ56" s="14">
        <v>0</v>
      </c>
      <c r="BR56" s="28">
        <f t="shared" si="5"/>
        <v>1</v>
      </c>
      <c r="BS56" s="28">
        <f t="shared" si="6"/>
        <v>0</v>
      </c>
      <c r="BT56" s="28">
        <f t="shared" si="7"/>
        <v>0</v>
      </c>
      <c r="BU56" s="28">
        <f t="shared" si="8"/>
        <v>0</v>
      </c>
      <c r="BV56" s="28">
        <f t="shared" si="9"/>
        <v>0</v>
      </c>
      <c r="BW56" s="14">
        <v>2</v>
      </c>
      <c r="BX56" s="15">
        <v>3</v>
      </c>
    </row>
    <row r="57" spans="1:76">
      <c r="A57" s="34" t="s">
        <v>65</v>
      </c>
      <c r="B57" s="35">
        <v>-0.218009789499576</v>
      </c>
      <c r="C57" s="35">
        <v>1.70377978853753</v>
      </c>
      <c r="D57" s="35">
        <v>1.49298237324991</v>
      </c>
      <c r="E57" s="35">
        <v>0.76033230128056</v>
      </c>
      <c r="F57" s="35">
        <v>0.100654398792177</v>
      </c>
      <c r="G57" s="35">
        <v>-0.314310038401024</v>
      </c>
      <c r="H57" s="35">
        <v>1.15837326035709</v>
      </c>
      <c r="I57" s="35">
        <v>-0.140691653892197</v>
      </c>
      <c r="J57" s="35">
        <v>-0.522702104258676</v>
      </c>
      <c r="K57" s="6">
        <v>4</v>
      </c>
      <c r="L57" s="6">
        <v>6</v>
      </c>
      <c r="M57" s="6">
        <v>6</v>
      </c>
      <c r="N57" s="6">
        <v>2</v>
      </c>
      <c r="O57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7.50125776116969</v>
      </c>
      <c r="P57" s="39"/>
      <c r="Q57" s="3" t="s">
        <v>161</v>
      </c>
      <c r="R57" s="3" t="s">
        <v>165</v>
      </c>
      <c r="S57" s="3" t="s">
        <v>163</v>
      </c>
      <c r="T57" s="3" t="s">
        <v>164</v>
      </c>
      <c r="U57" s="3" t="s">
        <v>168</v>
      </c>
      <c r="V57" s="3" t="s">
        <v>162</v>
      </c>
      <c r="W57" s="3" t="s">
        <v>166</v>
      </c>
      <c r="X57" s="3" t="s">
        <v>167</v>
      </c>
      <c r="Y57" s="40">
        <f t="shared" si="0"/>
        <v>6</v>
      </c>
      <c r="Z57" s="14" t="s">
        <v>161</v>
      </c>
      <c r="AA57" s="14">
        <v>78.66</v>
      </c>
      <c r="AB57" s="14">
        <v>74.548</v>
      </c>
      <c r="AC57" s="14">
        <v>184.996</v>
      </c>
      <c r="AD57" s="14">
        <v>102.69</v>
      </c>
      <c r="AE57" s="14">
        <v>5953.196</v>
      </c>
      <c r="AF57" s="14">
        <v>69.773</v>
      </c>
      <c r="AG57" s="14">
        <v>88.34</v>
      </c>
      <c r="AH57" s="28">
        <f t="shared" si="1"/>
        <v>6</v>
      </c>
      <c r="AI57" s="14" t="s">
        <v>161</v>
      </c>
      <c r="AJ57" s="14">
        <v>0.033716</v>
      </c>
      <c r="AK57" s="14">
        <v>0.105385</v>
      </c>
      <c r="AL57" s="14">
        <v>0</v>
      </c>
      <c r="AM57" s="14">
        <v>0</v>
      </c>
      <c r="AN57" s="14">
        <v>0</v>
      </c>
      <c r="AO57" s="14">
        <v>0.860846</v>
      </c>
      <c r="AP57" s="14">
        <v>5.3e-5</v>
      </c>
      <c r="AQ57" s="28">
        <f t="shared" si="2"/>
        <v>6</v>
      </c>
      <c r="AR57" s="14" t="s">
        <v>161</v>
      </c>
      <c r="AS57" s="14" t="s">
        <v>165</v>
      </c>
      <c r="AT57" s="14" t="s">
        <v>163</v>
      </c>
      <c r="AU57" s="14" t="s">
        <v>164</v>
      </c>
      <c r="AV57" s="14" t="s">
        <v>168</v>
      </c>
      <c r="AW57" s="14" t="s">
        <v>162</v>
      </c>
      <c r="AX57" s="14" t="s">
        <v>166</v>
      </c>
      <c r="AY57" s="14" t="s">
        <v>167</v>
      </c>
      <c r="AZ57" s="40">
        <f t="shared" si="3"/>
        <v>6</v>
      </c>
      <c r="BA57" s="14" t="s">
        <v>161</v>
      </c>
      <c r="BB57" s="14">
        <v>67.652</v>
      </c>
      <c r="BC57" s="14">
        <v>63.884</v>
      </c>
      <c r="BD57" s="14">
        <v>115.341</v>
      </c>
      <c r="BE57" s="14">
        <v>95.061</v>
      </c>
      <c r="BF57" s="14">
        <v>5784.211</v>
      </c>
      <c r="BG57" s="14">
        <v>59.978</v>
      </c>
      <c r="BH57" s="14">
        <v>71.085</v>
      </c>
      <c r="BI57" s="28">
        <f t="shared" si="4"/>
        <v>6</v>
      </c>
      <c r="BJ57" s="14" t="s">
        <v>161</v>
      </c>
      <c r="BK57" s="14">
        <v>0.056861</v>
      </c>
      <c r="BL57" s="14">
        <v>0.14967</v>
      </c>
      <c r="BM57" s="14">
        <v>0</v>
      </c>
      <c r="BN57" s="14">
        <v>0</v>
      </c>
      <c r="BO57" s="14">
        <v>0</v>
      </c>
      <c r="BP57" s="14">
        <v>0.791425</v>
      </c>
      <c r="BQ57" s="14">
        <v>0.002044</v>
      </c>
      <c r="BR57" s="28">
        <f t="shared" si="5"/>
        <v>6</v>
      </c>
      <c r="BS57" s="28">
        <f t="shared" si="6"/>
        <v>0</v>
      </c>
      <c r="BT57" s="28">
        <f t="shared" si="7"/>
        <v>0</v>
      </c>
      <c r="BU57" s="28">
        <f t="shared" si="8"/>
        <v>0</v>
      </c>
      <c r="BV57" s="28">
        <f t="shared" si="9"/>
        <v>0</v>
      </c>
      <c r="BW57" s="14">
        <v>4</v>
      </c>
      <c r="BX57" s="15">
        <v>1</v>
      </c>
    </row>
    <row r="58" spans="1:76">
      <c r="A58" s="36" t="s">
        <v>66</v>
      </c>
      <c r="B58" s="37">
        <v>-1.9070359483772</v>
      </c>
      <c r="C58" s="37">
        <v>-0.842724643429347</v>
      </c>
      <c r="D58" s="37">
        <v>-1.29087663337677</v>
      </c>
      <c r="E58" s="37">
        <v>1.59617104356589</v>
      </c>
      <c r="F58" s="37">
        <v>-0.586035359416252</v>
      </c>
      <c r="G58" s="37">
        <v>-0.157950489085751</v>
      </c>
      <c r="H58" s="37">
        <v>-0.792739393693039</v>
      </c>
      <c r="I58" s="37">
        <v>0.0405505505386087</v>
      </c>
      <c r="J58" s="37">
        <v>-0.0670322784127597</v>
      </c>
      <c r="K58" s="7">
        <v>2</v>
      </c>
      <c r="L58" s="7">
        <v>7</v>
      </c>
      <c r="M58" s="7">
        <v>7</v>
      </c>
      <c r="N58" s="7">
        <v>3</v>
      </c>
      <c r="O58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9.56405463526197</v>
      </c>
      <c r="P58" s="39"/>
      <c r="Q58" s="3" t="s">
        <v>161</v>
      </c>
      <c r="R58" s="3" t="s">
        <v>166</v>
      </c>
      <c r="S58" s="3" t="s">
        <v>164</v>
      </c>
      <c r="T58" s="3" t="s">
        <v>168</v>
      </c>
      <c r="U58" s="3" t="s">
        <v>163</v>
      </c>
      <c r="V58" s="3" t="s">
        <v>162</v>
      </c>
      <c r="W58" s="3" t="s">
        <v>165</v>
      </c>
      <c r="X58" s="3" t="s">
        <v>167</v>
      </c>
      <c r="Y58" s="40">
        <f t="shared" si="0"/>
        <v>3</v>
      </c>
      <c r="Z58" s="14" t="s">
        <v>161</v>
      </c>
      <c r="AA58" s="14">
        <v>1613.037</v>
      </c>
      <c r="AB58" s="14">
        <v>1735.782</v>
      </c>
      <c r="AC58" s="14">
        <v>782.624</v>
      </c>
      <c r="AD58" s="14">
        <v>1780.791</v>
      </c>
      <c r="AE58" s="14">
        <v>3473.019</v>
      </c>
      <c r="AF58" s="14">
        <v>1828.643</v>
      </c>
      <c r="AG58" s="14">
        <v>1313.447</v>
      </c>
      <c r="AH58" s="28">
        <f t="shared" si="1"/>
        <v>3</v>
      </c>
      <c r="AI58" s="14" t="s">
        <v>161</v>
      </c>
      <c r="AJ58" s="14">
        <v>0</v>
      </c>
      <c r="AK58" s="14">
        <v>0</v>
      </c>
      <c r="AL58" s="14">
        <v>1</v>
      </c>
      <c r="AM58" s="14">
        <v>0</v>
      </c>
      <c r="AN58" s="14">
        <v>0</v>
      </c>
      <c r="AO58" s="14">
        <v>0</v>
      </c>
      <c r="AP58" s="14">
        <v>0</v>
      </c>
      <c r="AQ58" s="28">
        <f t="shared" si="2"/>
        <v>3</v>
      </c>
      <c r="AR58" s="14" t="s">
        <v>161</v>
      </c>
      <c r="AS58" s="14" t="s">
        <v>166</v>
      </c>
      <c r="AT58" s="14" t="s">
        <v>168</v>
      </c>
      <c r="AU58" s="14" t="s">
        <v>164</v>
      </c>
      <c r="AV58" s="14" t="s">
        <v>162</v>
      </c>
      <c r="AW58" s="14" t="s">
        <v>163</v>
      </c>
      <c r="AX58" s="14" t="s">
        <v>165</v>
      </c>
      <c r="AY58" s="14" t="s">
        <v>167</v>
      </c>
      <c r="AZ58" s="40">
        <f t="shared" si="3"/>
        <v>3</v>
      </c>
      <c r="BA58" s="14" t="s">
        <v>161</v>
      </c>
      <c r="BB58" s="14">
        <v>114.34</v>
      </c>
      <c r="BC58" s="14">
        <v>131.991</v>
      </c>
      <c r="BD58" s="14">
        <v>50.942</v>
      </c>
      <c r="BE58" s="14">
        <v>131.395</v>
      </c>
      <c r="BF58" s="14">
        <v>5354.395</v>
      </c>
      <c r="BG58" s="14">
        <v>156.948</v>
      </c>
      <c r="BH58" s="14">
        <v>96.815</v>
      </c>
      <c r="BI58" s="28">
        <f t="shared" si="4"/>
        <v>3</v>
      </c>
      <c r="BJ58" s="14" t="s">
        <v>161</v>
      </c>
      <c r="BK58" s="14">
        <v>0</v>
      </c>
      <c r="BL58" s="14">
        <v>0</v>
      </c>
      <c r="BM58" s="14">
        <v>1</v>
      </c>
      <c r="BN58" s="14">
        <v>0</v>
      </c>
      <c r="BO58" s="14">
        <v>0</v>
      </c>
      <c r="BP58" s="14">
        <v>0</v>
      </c>
      <c r="BQ58" s="14">
        <v>0</v>
      </c>
      <c r="BR58" s="28">
        <f t="shared" si="5"/>
        <v>3</v>
      </c>
      <c r="BS58" s="28">
        <f t="shared" si="6"/>
        <v>0</v>
      </c>
      <c r="BT58" s="28">
        <f t="shared" si="7"/>
        <v>0</v>
      </c>
      <c r="BU58" s="28">
        <f t="shared" si="8"/>
        <v>1</v>
      </c>
      <c r="BV58" s="28">
        <f t="shared" si="9"/>
        <v>1</v>
      </c>
      <c r="BW58" s="14">
        <v>7</v>
      </c>
      <c r="BX58" s="15">
        <v>7</v>
      </c>
    </row>
    <row r="59" spans="1:76">
      <c r="A59" s="34" t="s">
        <v>67</v>
      </c>
      <c r="B59" s="35">
        <v>-0.130156959311073</v>
      </c>
      <c r="C59" s="35">
        <v>-0.202049079885373</v>
      </c>
      <c r="D59" s="35">
        <v>-0.116537171902323</v>
      </c>
      <c r="E59" s="35">
        <v>-0.821791032330952</v>
      </c>
      <c r="F59" s="35">
        <v>-0.31342247257385</v>
      </c>
      <c r="G59" s="35">
        <v>1.5915860897392</v>
      </c>
      <c r="H59" s="35">
        <v>0.584368505359116</v>
      </c>
      <c r="I59" s="35">
        <v>-0.353084104422614</v>
      </c>
      <c r="J59" s="35">
        <v>-0.548052897705603</v>
      </c>
      <c r="K59" s="6">
        <v>5</v>
      </c>
      <c r="L59" s="6">
        <v>7</v>
      </c>
      <c r="M59" s="6">
        <v>2</v>
      </c>
      <c r="N59" s="6">
        <v>1</v>
      </c>
      <c r="O59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4.14458291889494</v>
      </c>
      <c r="P59" s="39"/>
      <c r="Q59" s="3" t="s">
        <v>161</v>
      </c>
      <c r="R59" s="3" t="s">
        <v>164</v>
      </c>
      <c r="S59" s="3" t="s">
        <v>163</v>
      </c>
      <c r="T59" s="3" t="s">
        <v>165</v>
      </c>
      <c r="U59" s="3" t="s">
        <v>162</v>
      </c>
      <c r="V59" s="3" t="s">
        <v>168</v>
      </c>
      <c r="W59" s="3" t="s">
        <v>166</v>
      </c>
      <c r="X59" s="3" t="s">
        <v>167</v>
      </c>
      <c r="Y59" s="40">
        <f t="shared" si="0"/>
        <v>1</v>
      </c>
      <c r="Z59" s="14" t="s">
        <v>161</v>
      </c>
      <c r="AA59" s="14">
        <v>94.147</v>
      </c>
      <c r="AB59" s="14">
        <v>134.824</v>
      </c>
      <c r="AC59" s="14">
        <v>176</v>
      </c>
      <c r="AD59" s="14">
        <v>141.765</v>
      </c>
      <c r="AE59" s="14">
        <v>5696.683</v>
      </c>
      <c r="AF59" s="14">
        <v>194.491</v>
      </c>
      <c r="AG59" s="14">
        <v>73.869</v>
      </c>
      <c r="AH59" s="28">
        <f t="shared" si="1"/>
        <v>7</v>
      </c>
      <c r="AI59" s="14" t="s">
        <v>161</v>
      </c>
      <c r="AJ59" s="14">
        <v>0.000197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0.999803</v>
      </c>
      <c r="AQ59" s="28">
        <f t="shared" si="2"/>
        <v>7</v>
      </c>
      <c r="AR59" s="14" t="s">
        <v>161</v>
      </c>
      <c r="AS59" s="14" t="s">
        <v>164</v>
      </c>
      <c r="AT59" s="14" t="s">
        <v>165</v>
      </c>
      <c r="AU59" s="14" t="s">
        <v>163</v>
      </c>
      <c r="AV59" s="14" t="s">
        <v>162</v>
      </c>
      <c r="AW59" s="14" t="s">
        <v>168</v>
      </c>
      <c r="AX59" s="14" t="s">
        <v>166</v>
      </c>
      <c r="AY59" s="14" t="s">
        <v>167</v>
      </c>
      <c r="AZ59" s="40">
        <f t="shared" si="3"/>
        <v>1</v>
      </c>
      <c r="BA59" s="14" t="s">
        <v>161</v>
      </c>
      <c r="BB59" s="14">
        <v>28.99</v>
      </c>
      <c r="BC59" s="14">
        <v>62.803</v>
      </c>
      <c r="BD59" s="14">
        <v>136.331</v>
      </c>
      <c r="BE59" s="14">
        <v>77.491</v>
      </c>
      <c r="BF59" s="14">
        <v>6317.978</v>
      </c>
      <c r="BG59" s="14">
        <v>58.92</v>
      </c>
      <c r="BH59" s="14">
        <v>133.918</v>
      </c>
      <c r="BI59" s="28">
        <f t="shared" si="4"/>
        <v>1</v>
      </c>
      <c r="BJ59" s="14" t="s">
        <v>161</v>
      </c>
      <c r="BK59" s="14">
        <v>1</v>
      </c>
      <c r="BL59" s="14">
        <v>0</v>
      </c>
      <c r="BM59" s="14">
        <v>0</v>
      </c>
      <c r="BN59" s="14">
        <v>0</v>
      </c>
      <c r="BO59" s="14">
        <v>0</v>
      </c>
      <c r="BP59" s="14">
        <v>0</v>
      </c>
      <c r="BQ59" s="14">
        <v>0</v>
      </c>
      <c r="BR59" s="28">
        <f t="shared" si="5"/>
        <v>1</v>
      </c>
      <c r="BS59" s="28">
        <f t="shared" si="6"/>
        <v>0</v>
      </c>
      <c r="BT59" s="28">
        <f t="shared" si="7"/>
        <v>0</v>
      </c>
      <c r="BU59" s="28">
        <f t="shared" si="8"/>
        <v>1</v>
      </c>
      <c r="BV59" s="28">
        <f t="shared" si="9"/>
        <v>1</v>
      </c>
      <c r="BW59" s="14">
        <v>6</v>
      </c>
      <c r="BX59" s="15">
        <v>4</v>
      </c>
    </row>
    <row r="60" spans="1:76">
      <c r="A60" s="36" t="s">
        <v>68</v>
      </c>
      <c r="B60" s="37">
        <v>0.143483061395689</v>
      </c>
      <c r="C60" s="37">
        <v>-0.514977219583021</v>
      </c>
      <c r="D60" s="37">
        <v>-0.871865661088286</v>
      </c>
      <c r="E60" s="37">
        <v>2.22305010027988</v>
      </c>
      <c r="F60" s="37">
        <v>-0.848333164053807</v>
      </c>
      <c r="G60" s="37">
        <v>-1.37924534725099</v>
      </c>
      <c r="H60" s="37">
        <v>-1.89577604310003</v>
      </c>
      <c r="I60" s="37">
        <v>0.263304199006932</v>
      </c>
      <c r="J60" s="37">
        <v>0.400872932515106</v>
      </c>
      <c r="K60" s="7">
        <v>3</v>
      </c>
      <c r="L60" s="7">
        <v>7</v>
      </c>
      <c r="M60" s="7">
        <v>5</v>
      </c>
      <c r="N60" s="7">
        <v>4</v>
      </c>
      <c r="O60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12.4338723049132</v>
      </c>
      <c r="P60" s="39"/>
      <c r="Q60" s="3" t="s">
        <v>161</v>
      </c>
      <c r="R60" s="3" t="s">
        <v>168</v>
      </c>
      <c r="S60" s="3" t="s">
        <v>162</v>
      </c>
      <c r="T60" s="3" t="s">
        <v>163</v>
      </c>
      <c r="U60" s="3" t="s">
        <v>164</v>
      </c>
      <c r="V60" s="3" t="s">
        <v>166</v>
      </c>
      <c r="W60" s="3" t="s">
        <v>165</v>
      </c>
      <c r="X60" s="3" t="s">
        <v>167</v>
      </c>
      <c r="Y60" s="40">
        <f t="shared" si="0"/>
        <v>7</v>
      </c>
      <c r="Z60" s="14" t="s">
        <v>161</v>
      </c>
      <c r="AA60" s="14">
        <v>55.212</v>
      </c>
      <c r="AB60" s="14">
        <v>44.121</v>
      </c>
      <c r="AC60" s="14">
        <v>301.926</v>
      </c>
      <c r="AD60" s="14">
        <v>14.386</v>
      </c>
      <c r="AE60" s="14">
        <v>6408.636</v>
      </c>
      <c r="AF60" s="14">
        <v>118.428</v>
      </c>
      <c r="AG60" s="14">
        <v>171.492</v>
      </c>
      <c r="AH60" s="28">
        <f t="shared" si="1"/>
        <v>4</v>
      </c>
      <c r="AI60" s="14" t="s">
        <v>161</v>
      </c>
      <c r="AJ60" s="14">
        <v>0</v>
      </c>
      <c r="AK60" s="14">
        <v>0</v>
      </c>
      <c r="AL60" s="14">
        <v>0</v>
      </c>
      <c r="AM60" s="14">
        <v>1</v>
      </c>
      <c r="AN60" s="14">
        <v>0</v>
      </c>
      <c r="AO60" s="14">
        <v>0</v>
      </c>
      <c r="AP60" s="14">
        <v>0</v>
      </c>
      <c r="AQ60" s="28">
        <f t="shared" si="2"/>
        <v>4</v>
      </c>
      <c r="AR60" s="14" t="s">
        <v>161</v>
      </c>
      <c r="AS60" s="14" t="s">
        <v>166</v>
      </c>
      <c r="AT60" s="14" t="s">
        <v>168</v>
      </c>
      <c r="AU60" s="14" t="s">
        <v>162</v>
      </c>
      <c r="AV60" s="14" t="s">
        <v>163</v>
      </c>
      <c r="AW60" s="14" t="s">
        <v>164</v>
      </c>
      <c r="AX60" s="14" t="s">
        <v>165</v>
      </c>
      <c r="AY60" s="14" t="s">
        <v>167</v>
      </c>
      <c r="AZ60" s="40">
        <f t="shared" si="3"/>
        <v>3</v>
      </c>
      <c r="BA60" s="14" t="s">
        <v>161</v>
      </c>
      <c r="BB60" s="14">
        <v>198.127</v>
      </c>
      <c r="BC60" s="14">
        <v>189.175</v>
      </c>
      <c r="BD60" s="14">
        <v>152.252</v>
      </c>
      <c r="BE60" s="14">
        <v>178.532</v>
      </c>
      <c r="BF60" s="14">
        <v>5257.355</v>
      </c>
      <c r="BG60" s="14">
        <v>257.268</v>
      </c>
      <c r="BH60" s="14">
        <v>153.271</v>
      </c>
      <c r="BI60" s="28">
        <f t="shared" si="4"/>
        <v>3</v>
      </c>
      <c r="BJ60" s="14" t="s">
        <v>161</v>
      </c>
      <c r="BK60" s="14">
        <v>0</v>
      </c>
      <c r="BL60" s="14">
        <v>0</v>
      </c>
      <c r="BM60" s="14">
        <v>0.624669</v>
      </c>
      <c r="BN60" s="14">
        <v>4e-6</v>
      </c>
      <c r="BO60" s="14">
        <v>0</v>
      </c>
      <c r="BP60" s="14">
        <v>0</v>
      </c>
      <c r="BQ60" s="14">
        <v>0.375328</v>
      </c>
      <c r="BR60" s="28">
        <f t="shared" si="5"/>
        <v>3</v>
      </c>
      <c r="BS60" s="28">
        <f t="shared" si="6"/>
        <v>0</v>
      </c>
      <c r="BT60" s="28">
        <f t="shared" si="7"/>
        <v>0</v>
      </c>
      <c r="BU60" s="28">
        <f t="shared" si="8"/>
        <v>0</v>
      </c>
      <c r="BV60" s="28">
        <f t="shared" si="9"/>
        <v>0</v>
      </c>
      <c r="BW60" s="14">
        <v>7</v>
      </c>
      <c r="BX60" s="15">
        <v>3</v>
      </c>
    </row>
    <row r="61" spans="1:76">
      <c r="A61" s="34" t="s">
        <v>69</v>
      </c>
      <c r="B61" s="35">
        <v>0.635227002728324</v>
      </c>
      <c r="C61" s="35">
        <v>-0.18998687185738</v>
      </c>
      <c r="D61" s="35">
        <v>0.278913095218891</v>
      </c>
      <c r="E61" s="35">
        <v>-0.374020277535241</v>
      </c>
      <c r="F61" s="35">
        <v>1.60665640069993</v>
      </c>
      <c r="G61" s="35">
        <v>1.36761160017948</v>
      </c>
      <c r="H61" s="35">
        <v>-0.682882024315437</v>
      </c>
      <c r="I61" s="35">
        <v>-0.072202197279519</v>
      </c>
      <c r="J61" s="35">
        <v>-0.160428284324649</v>
      </c>
      <c r="K61" s="6">
        <v>6</v>
      </c>
      <c r="L61" s="6">
        <v>7</v>
      </c>
      <c r="M61" s="6">
        <v>5</v>
      </c>
      <c r="N61" s="6">
        <v>1</v>
      </c>
      <c r="O61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5.60627656885757</v>
      </c>
      <c r="P61" s="39"/>
      <c r="Q61" s="3" t="s">
        <v>161</v>
      </c>
      <c r="R61" s="3" t="s">
        <v>168</v>
      </c>
      <c r="S61" s="3" t="s">
        <v>164</v>
      </c>
      <c r="T61" s="3" t="s">
        <v>163</v>
      </c>
      <c r="U61" s="3" t="s">
        <v>162</v>
      </c>
      <c r="V61" s="3" t="s">
        <v>166</v>
      </c>
      <c r="W61" s="3" t="s">
        <v>165</v>
      </c>
      <c r="X61" s="3" t="s">
        <v>167</v>
      </c>
      <c r="Y61" s="40">
        <f t="shared" si="0"/>
        <v>7</v>
      </c>
      <c r="Z61" s="14" t="s">
        <v>161</v>
      </c>
      <c r="AA61" s="14">
        <v>8.795</v>
      </c>
      <c r="AB61" s="14">
        <v>12.982</v>
      </c>
      <c r="AC61" s="14">
        <v>221.27</v>
      </c>
      <c r="AD61" s="14">
        <v>26.144</v>
      </c>
      <c r="AE61" s="14">
        <v>6791.018</v>
      </c>
      <c r="AF61" s="14">
        <v>75.206</v>
      </c>
      <c r="AG61" s="14">
        <v>109.26</v>
      </c>
      <c r="AH61" s="28">
        <f t="shared" si="1"/>
        <v>1</v>
      </c>
      <c r="AI61" s="14" t="s">
        <v>161</v>
      </c>
      <c r="AJ61" s="14">
        <v>0.952926</v>
      </c>
      <c r="AK61" s="14">
        <v>0.046977</v>
      </c>
      <c r="AL61" s="14">
        <v>0</v>
      </c>
      <c r="AM61" s="14">
        <v>9.8e-5</v>
      </c>
      <c r="AN61" s="14">
        <v>0</v>
      </c>
      <c r="AO61" s="14">
        <v>0</v>
      </c>
      <c r="AP61" s="14">
        <v>0</v>
      </c>
      <c r="AQ61" s="28">
        <f t="shared" si="2"/>
        <v>1</v>
      </c>
      <c r="AR61" s="14" t="s">
        <v>161</v>
      </c>
      <c r="AS61" s="14" t="s">
        <v>168</v>
      </c>
      <c r="AT61" s="14" t="s">
        <v>164</v>
      </c>
      <c r="AU61" s="14" t="s">
        <v>166</v>
      </c>
      <c r="AV61" s="14" t="s">
        <v>163</v>
      </c>
      <c r="AW61" s="14" t="s">
        <v>162</v>
      </c>
      <c r="AX61" s="14" t="s">
        <v>165</v>
      </c>
      <c r="AY61" s="14" t="s">
        <v>167</v>
      </c>
      <c r="AZ61" s="40">
        <f t="shared" si="3"/>
        <v>7</v>
      </c>
      <c r="BA61" s="14" t="s">
        <v>161</v>
      </c>
      <c r="BB61" s="14">
        <v>83.585</v>
      </c>
      <c r="BC61" s="14">
        <v>127.127</v>
      </c>
      <c r="BD61" s="14">
        <v>103.165</v>
      </c>
      <c r="BE61" s="14">
        <v>135.015</v>
      </c>
      <c r="BF61" s="14">
        <v>5627.868</v>
      </c>
      <c r="BG61" s="14">
        <v>190.114</v>
      </c>
      <c r="BH61" s="14">
        <v>72.044</v>
      </c>
      <c r="BI61" s="28">
        <f t="shared" si="4"/>
        <v>7</v>
      </c>
      <c r="BJ61" s="14" t="s">
        <v>161</v>
      </c>
      <c r="BK61" s="14">
        <v>0.015356</v>
      </c>
      <c r="BL61" s="14">
        <v>0</v>
      </c>
      <c r="BM61" s="14">
        <v>0</v>
      </c>
      <c r="BN61" s="14">
        <v>0</v>
      </c>
      <c r="BO61" s="14">
        <v>0</v>
      </c>
      <c r="BP61" s="14">
        <v>0</v>
      </c>
      <c r="BQ61" s="14">
        <v>0.984644</v>
      </c>
      <c r="BR61" s="28">
        <f t="shared" si="5"/>
        <v>7</v>
      </c>
      <c r="BS61" s="28">
        <f t="shared" si="6"/>
        <v>0</v>
      </c>
      <c r="BT61" s="28">
        <f t="shared" si="7"/>
        <v>0</v>
      </c>
      <c r="BU61" s="28">
        <f t="shared" si="8"/>
        <v>0</v>
      </c>
      <c r="BV61" s="28">
        <f t="shared" si="9"/>
        <v>0</v>
      </c>
      <c r="BW61" s="14">
        <v>6</v>
      </c>
      <c r="BX61" s="15">
        <v>4</v>
      </c>
    </row>
    <row r="62" spans="1:76">
      <c r="A62" s="36" t="s">
        <v>70</v>
      </c>
      <c r="B62" s="37">
        <v>-0.00493054077485704</v>
      </c>
      <c r="C62" s="37">
        <v>-0.607683904141025</v>
      </c>
      <c r="D62" s="37">
        <v>-0.0805031522347351</v>
      </c>
      <c r="E62" s="37">
        <v>-0.374020277535241</v>
      </c>
      <c r="F62" s="37">
        <v>-0.843912414537444</v>
      </c>
      <c r="G62" s="37">
        <v>0.091379603065631</v>
      </c>
      <c r="H62" s="37">
        <v>0.466500702797729</v>
      </c>
      <c r="I62" s="37">
        <v>-0.360910418350505</v>
      </c>
      <c r="J62" s="37">
        <v>0.354633753594166</v>
      </c>
      <c r="K62" s="7">
        <v>3</v>
      </c>
      <c r="L62" s="7">
        <v>7</v>
      </c>
      <c r="M62" s="7">
        <v>4</v>
      </c>
      <c r="N62" s="7">
        <v>1</v>
      </c>
      <c r="O62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1.70985869335153</v>
      </c>
      <c r="P62" s="39"/>
      <c r="Q62" s="3" t="s">
        <v>161</v>
      </c>
      <c r="R62" s="3" t="s">
        <v>163</v>
      </c>
      <c r="S62" s="3" t="s">
        <v>164</v>
      </c>
      <c r="T62" s="3" t="s">
        <v>162</v>
      </c>
      <c r="U62" s="3" t="s">
        <v>165</v>
      </c>
      <c r="V62" s="3" t="s">
        <v>168</v>
      </c>
      <c r="W62" s="3" t="s">
        <v>166</v>
      </c>
      <c r="X62" s="3" t="s">
        <v>167</v>
      </c>
      <c r="Y62" s="40">
        <f t="shared" si="0"/>
        <v>2</v>
      </c>
      <c r="Z62" s="14" t="s">
        <v>161</v>
      </c>
      <c r="AA62" s="14">
        <v>55.512</v>
      </c>
      <c r="AB62" s="14">
        <v>61.685</v>
      </c>
      <c r="AC62" s="14">
        <v>124.521</v>
      </c>
      <c r="AD62" s="14">
        <v>74.121</v>
      </c>
      <c r="AE62" s="14">
        <v>5868.465</v>
      </c>
      <c r="AF62" s="14">
        <v>86.249</v>
      </c>
      <c r="AG62" s="14">
        <v>66.863</v>
      </c>
      <c r="AH62" s="28">
        <f t="shared" si="1"/>
        <v>1</v>
      </c>
      <c r="AI62" s="14" t="s">
        <v>161</v>
      </c>
      <c r="AJ62" s="14">
        <v>0.981353</v>
      </c>
      <c r="AK62" s="14">
        <v>0.017921</v>
      </c>
      <c r="AL62" s="14">
        <v>0</v>
      </c>
      <c r="AM62" s="14">
        <v>5.4e-5</v>
      </c>
      <c r="AN62" s="14">
        <v>0</v>
      </c>
      <c r="AO62" s="14">
        <v>0</v>
      </c>
      <c r="AP62" s="14">
        <v>0.000673</v>
      </c>
      <c r="AQ62" s="28">
        <f t="shared" si="2"/>
        <v>1</v>
      </c>
      <c r="AR62" s="14" t="s">
        <v>161</v>
      </c>
      <c r="AS62" s="14" t="s">
        <v>165</v>
      </c>
      <c r="AT62" s="14" t="s">
        <v>163</v>
      </c>
      <c r="AU62" s="14" t="s">
        <v>164</v>
      </c>
      <c r="AV62" s="14" t="s">
        <v>162</v>
      </c>
      <c r="AW62" s="14" t="s">
        <v>168</v>
      </c>
      <c r="AX62" s="14" t="s">
        <v>166</v>
      </c>
      <c r="AY62" s="14" t="s">
        <v>167</v>
      </c>
      <c r="AZ62" s="40">
        <f t="shared" si="3"/>
        <v>6</v>
      </c>
      <c r="BA62" s="14" t="s">
        <v>161</v>
      </c>
      <c r="BB62" s="14">
        <v>18.04</v>
      </c>
      <c r="BC62" s="14">
        <v>15.474</v>
      </c>
      <c r="BD62" s="14">
        <v>220.557</v>
      </c>
      <c r="BE62" s="14">
        <v>17.85</v>
      </c>
      <c r="BF62" s="14">
        <v>6632.962</v>
      </c>
      <c r="BG62" s="14">
        <v>13.196</v>
      </c>
      <c r="BH62" s="14">
        <v>141.84</v>
      </c>
      <c r="BI62" s="28">
        <f t="shared" si="4"/>
        <v>6</v>
      </c>
      <c r="BJ62" s="14" t="s">
        <v>161</v>
      </c>
      <c r="BK62" s="14">
        <v>0.154218</v>
      </c>
      <c r="BL62" s="14">
        <v>0.222615</v>
      </c>
      <c r="BM62" s="14">
        <v>0</v>
      </c>
      <c r="BN62" s="14">
        <v>0.101782</v>
      </c>
      <c r="BO62" s="14">
        <v>0</v>
      </c>
      <c r="BP62" s="14">
        <v>0.521385</v>
      </c>
      <c r="BQ62" s="14">
        <v>0</v>
      </c>
      <c r="BR62" s="28">
        <f t="shared" si="5"/>
        <v>6</v>
      </c>
      <c r="BS62" s="28">
        <f t="shared" si="6"/>
        <v>0</v>
      </c>
      <c r="BT62" s="28">
        <f t="shared" si="7"/>
        <v>0</v>
      </c>
      <c r="BU62" s="28">
        <f t="shared" si="8"/>
        <v>0</v>
      </c>
      <c r="BV62" s="28">
        <f t="shared" si="9"/>
        <v>0</v>
      </c>
      <c r="BW62" s="14">
        <v>6</v>
      </c>
      <c r="BX62" s="15">
        <v>4</v>
      </c>
    </row>
    <row r="63" spans="1:76">
      <c r="A63" s="34" t="s">
        <v>71</v>
      </c>
      <c r="B63" s="35">
        <v>-0.261934523856137</v>
      </c>
      <c r="C63" s="35">
        <v>-0.344038500100605</v>
      </c>
      <c r="D63" s="35">
        <v>-0.398803659298423</v>
      </c>
      <c r="E63" s="35">
        <v>-0.582979963106573</v>
      </c>
      <c r="F63" s="35">
        <v>-0.05701900062478</v>
      </c>
      <c r="G63" s="35">
        <v>0.230835417319794</v>
      </c>
      <c r="H63" s="35">
        <v>-0.409726252748419</v>
      </c>
      <c r="I63" s="35">
        <v>-0.179764684177194</v>
      </c>
      <c r="J63" s="35">
        <v>0.0474685371011663</v>
      </c>
      <c r="K63" s="6">
        <v>3</v>
      </c>
      <c r="L63" s="6">
        <v>7</v>
      </c>
      <c r="M63" s="6">
        <v>4</v>
      </c>
      <c r="N63" s="6">
        <v>1</v>
      </c>
      <c r="O63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0.944862542597345</v>
      </c>
      <c r="P63" s="39">
        <v>1</v>
      </c>
      <c r="Q63" s="3" t="s">
        <v>164</v>
      </c>
      <c r="R63" s="3" t="s">
        <v>164</v>
      </c>
      <c r="S63" s="3" t="s">
        <v>163</v>
      </c>
      <c r="T63" s="3" t="s">
        <v>162</v>
      </c>
      <c r="U63" s="3" t="s">
        <v>165</v>
      </c>
      <c r="V63" s="3" t="s">
        <v>168</v>
      </c>
      <c r="W63" s="3" t="s">
        <v>166</v>
      </c>
      <c r="X63" s="3" t="s">
        <v>167</v>
      </c>
      <c r="Y63" s="40">
        <f t="shared" si="0"/>
        <v>1</v>
      </c>
      <c r="Z63" s="14" t="s">
        <v>161</v>
      </c>
      <c r="AA63" s="14">
        <v>26.977</v>
      </c>
      <c r="AB63" s="14">
        <v>39.729</v>
      </c>
      <c r="AC63" s="14">
        <v>105.366</v>
      </c>
      <c r="AD63" s="14">
        <v>61.22</v>
      </c>
      <c r="AE63" s="14">
        <v>6271.93</v>
      </c>
      <c r="AF63" s="14">
        <v>85.267</v>
      </c>
      <c r="AG63" s="14">
        <v>65.135</v>
      </c>
      <c r="AH63" s="28">
        <f t="shared" si="1"/>
        <v>1</v>
      </c>
      <c r="AI63" s="14" t="s">
        <v>161</v>
      </c>
      <c r="AJ63" s="14">
        <v>0.99932</v>
      </c>
      <c r="AK63" s="14">
        <v>0.00068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28">
        <f t="shared" si="2"/>
        <v>1</v>
      </c>
      <c r="AR63" s="14" t="s">
        <v>164</v>
      </c>
      <c r="AS63" s="14" t="s">
        <v>164</v>
      </c>
      <c r="AT63" s="14" t="s">
        <v>163</v>
      </c>
      <c r="AU63" s="14" t="s">
        <v>162</v>
      </c>
      <c r="AV63" s="14" t="s">
        <v>165</v>
      </c>
      <c r="AW63" s="14" t="s">
        <v>168</v>
      </c>
      <c r="AX63" s="14" t="s">
        <v>166</v>
      </c>
      <c r="AY63" s="14" t="s">
        <v>167</v>
      </c>
      <c r="AZ63" s="40">
        <f t="shared" si="3"/>
        <v>1</v>
      </c>
      <c r="BA63" s="14" t="s">
        <v>164</v>
      </c>
      <c r="BB63" s="14">
        <v>3.18</v>
      </c>
      <c r="BC63" s="14">
        <v>16.219</v>
      </c>
      <c r="BD63" s="14">
        <v>164.896</v>
      </c>
      <c r="BE63" s="14">
        <v>17.235</v>
      </c>
      <c r="BF63" s="14">
        <v>6409.057</v>
      </c>
      <c r="BG63" s="14">
        <v>47.21</v>
      </c>
      <c r="BH63" s="14">
        <v>87.961</v>
      </c>
      <c r="BI63" s="28">
        <f t="shared" si="4"/>
        <v>1</v>
      </c>
      <c r="BJ63" s="14" t="s">
        <v>164</v>
      </c>
      <c r="BK63" s="14">
        <v>0.998879</v>
      </c>
      <c r="BL63" s="14">
        <v>0.000589</v>
      </c>
      <c r="BM63" s="14">
        <v>0</v>
      </c>
      <c r="BN63" s="14">
        <v>0.000532</v>
      </c>
      <c r="BO63" s="14">
        <v>0</v>
      </c>
      <c r="BP63" s="14">
        <v>0</v>
      </c>
      <c r="BQ63" s="14">
        <v>0</v>
      </c>
      <c r="BR63" s="28">
        <f t="shared" si="5"/>
        <v>1</v>
      </c>
      <c r="BS63" s="28">
        <f t="shared" si="6"/>
        <v>1</v>
      </c>
      <c r="BT63" s="28">
        <f t="shared" si="7"/>
        <v>1</v>
      </c>
      <c r="BU63" s="28">
        <f t="shared" si="8"/>
        <v>1</v>
      </c>
      <c r="BV63" s="28">
        <f t="shared" si="9"/>
        <v>1</v>
      </c>
      <c r="BW63" s="14">
        <v>6</v>
      </c>
      <c r="BX63" s="15">
        <v>4</v>
      </c>
    </row>
    <row r="64" spans="1:76">
      <c r="A64" s="36" t="s">
        <v>72</v>
      </c>
      <c r="B64" s="37">
        <v>-0.112091783474835</v>
      </c>
      <c r="C64" s="37">
        <v>-0.15311097874323</v>
      </c>
      <c r="D64" s="37">
        <v>0.310789343386372</v>
      </c>
      <c r="E64" s="37">
        <v>-0.553128579453525</v>
      </c>
      <c r="F64" s="37">
        <v>-0.462254372958081</v>
      </c>
      <c r="G64" s="37">
        <v>0.737947469153113</v>
      </c>
      <c r="H64" s="37">
        <v>-0.0712282333536811</v>
      </c>
      <c r="I64" s="37">
        <v>-0.334046163749948</v>
      </c>
      <c r="J64" s="37">
        <v>-0.761714271452775</v>
      </c>
      <c r="K64" s="7">
        <v>3</v>
      </c>
      <c r="L64" s="7">
        <v>7</v>
      </c>
      <c r="M64" s="7">
        <v>5</v>
      </c>
      <c r="N64" s="7">
        <v>1</v>
      </c>
      <c r="O64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1.89366328573103</v>
      </c>
      <c r="P64" s="39">
        <v>1</v>
      </c>
      <c r="Q64" s="3" t="s">
        <v>164</v>
      </c>
      <c r="R64" s="3" t="s">
        <v>164</v>
      </c>
      <c r="S64" s="3" t="s">
        <v>163</v>
      </c>
      <c r="T64" s="3" t="s">
        <v>162</v>
      </c>
      <c r="U64" s="3" t="s">
        <v>165</v>
      </c>
      <c r="V64" s="3" t="s">
        <v>168</v>
      </c>
      <c r="W64" s="3" t="s">
        <v>166</v>
      </c>
      <c r="X64" s="3" t="s">
        <v>167</v>
      </c>
      <c r="Y64" s="40">
        <f t="shared" si="0"/>
        <v>1</v>
      </c>
      <c r="Z64" s="14" t="s">
        <v>161</v>
      </c>
      <c r="AA64" s="14">
        <v>22.329</v>
      </c>
      <c r="AB64" s="14">
        <v>28.533</v>
      </c>
      <c r="AC64" s="14">
        <v>264.302</v>
      </c>
      <c r="AD64" s="14">
        <v>34.912</v>
      </c>
      <c r="AE64" s="14">
        <v>6636.197</v>
      </c>
      <c r="AF64" s="14">
        <v>29.812</v>
      </c>
      <c r="AG64" s="14">
        <v>113.58</v>
      </c>
      <c r="AH64" s="28">
        <f t="shared" si="1"/>
        <v>1</v>
      </c>
      <c r="AI64" s="14" t="s">
        <v>161</v>
      </c>
      <c r="AJ64" s="14">
        <v>0.974453</v>
      </c>
      <c r="AK64" s="14">
        <v>0.017528</v>
      </c>
      <c r="AL64" s="14">
        <v>0</v>
      </c>
      <c r="AM64" s="14">
        <v>0.001083</v>
      </c>
      <c r="AN64" s="14">
        <v>0</v>
      </c>
      <c r="AO64" s="14">
        <v>0.006935</v>
      </c>
      <c r="AP64" s="14">
        <v>0</v>
      </c>
      <c r="AQ64" s="28">
        <f t="shared" si="2"/>
        <v>1</v>
      </c>
      <c r="AR64" s="14" t="s">
        <v>164</v>
      </c>
      <c r="AS64" s="14" t="s">
        <v>164</v>
      </c>
      <c r="AT64" s="14" t="s">
        <v>163</v>
      </c>
      <c r="AU64" s="14" t="s">
        <v>165</v>
      </c>
      <c r="AV64" s="14" t="s">
        <v>162</v>
      </c>
      <c r="AW64" s="14" t="s">
        <v>168</v>
      </c>
      <c r="AX64" s="14" t="s">
        <v>166</v>
      </c>
      <c r="AY64" s="14" t="s">
        <v>167</v>
      </c>
      <c r="AZ64" s="40">
        <f t="shared" si="3"/>
        <v>1</v>
      </c>
      <c r="BA64" s="14" t="s">
        <v>164</v>
      </c>
      <c r="BB64" s="14">
        <v>4.404</v>
      </c>
      <c r="BC64" s="14">
        <v>20.273</v>
      </c>
      <c r="BD64" s="14">
        <v>156.163</v>
      </c>
      <c r="BE64" s="14">
        <v>43.86</v>
      </c>
      <c r="BF64" s="14">
        <v>6582.537</v>
      </c>
      <c r="BG64" s="14">
        <v>42.409</v>
      </c>
      <c r="BH64" s="14">
        <v>101.505</v>
      </c>
      <c r="BI64" s="28">
        <f t="shared" si="4"/>
        <v>1</v>
      </c>
      <c r="BJ64" s="14" t="s">
        <v>164</v>
      </c>
      <c r="BK64" s="14">
        <v>0.999857</v>
      </c>
      <c r="BL64" s="14">
        <v>0.000143</v>
      </c>
      <c r="BM64" s="14">
        <v>0</v>
      </c>
      <c r="BN64" s="14">
        <v>0</v>
      </c>
      <c r="BO64" s="14">
        <v>0</v>
      </c>
      <c r="BP64" s="14">
        <v>0</v>
      </c>
      <c r="BQ64" s="14">
        <v>0</v>
      </c>
      <c r="BR64" s="28">
        <f t="shared" si="5"/>
        <v>1</v>
      </c>
      <c r="BS64" s="28">
        <f t="shared" si="6"/>
        <v>1</v>
      </c>
      <c r="BT64" s="28">
        <f t="shared" si="7"/>
        <v>1</v>
      </c>
      <c r="BU64" s="28">
        <f t="shared" si="8"/>
        <v>1</v>
      </c>
      <c r="BV64" s="28">
        <f t="shared" si="9"/>
        <v>1</v>
      </c>
      <c r="BW64" s="14">
        <v>6</v>
      </c>
      <c r="BX64" s="15">
        <v>4</v>
      </c>
    </row>
    <row r="65" spans="1:76">
      <c r="A65" s="34" t="s">
        <v>73</v>
      </c>
      <c r="B65" s="35">
        <v>2.16177197559755</v>
      </c>
      <c r="C65" s="35">
        <v>0.425530372085351</v>
      </c>
      <c r="D65" s="35">
        <v>1.63850437575362</v>
      </c>
      <c r="E65" s="35">
        <v>-0.911345183290094</v>
      </c>
      <c r="F65" s="35">
        <v>0.278957962618829</v>
      </c>
      <c r="G65" s="35">
        <v>-0.191757959207972</v>
      </c>
      <c r="H65" s="35">
        <v>1.97372092370648</v>
      </c>
      <c r="I65" s="35">
        <v>-0.331377285018855</v>
      </c>
      <c r="J65" s="35">
        <v>-1.51010299074033</v>
      </c>
      <c r="K65" s="6">
        <v>4</v>
      </c>
      <c r="L65" s="6">
        <v>6</v>
      </c>
      <c r="M65" s="6">
        <v>6</v>
      </c>
      <c r="N65" s="6">
        <v>6</v>
      </c>
      <c r="O65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14.76996569669</v>
      </c>
      <c r="P65" s="39"/>
      <c r="Q65" s="3" t="s">
        <v>161</v>
      </c>
      <c r="R65" s="3" t="s">
        <v>165</v>
      </c>
      <c r="S65" s="3" t="s">
        <v>163</v>
      </c>
      <c r="T65" s="3" t="s">
        <v>164</v>
      </c>
      <c r="U65" s="3" t="s">
        <v>162</v>
      </c>
      <c r="V65" s="3" t="s">
        <v>168</v>
      </c>
      <c r="W65" s="3" t="s">
        <v>166</v>
      </c>
      <c r="X65" s="3" t="s">
        <v>167</v>
      </c>
      <c r="Y65" s="40">
        <f t="shared" si="0"/>
        <v>6</v>
      </c>
      <c r="Z65" s="14" t="s">
        <v>161</v>
      </c>
      <c r="AA65" s="14">
        <v>91.878</v>
      </c>
      <c r="AB65" s="14">
        <v>87.37</v>
      </c>
      <c r="AC65" s="14">
        <v>365.449</v>
      </c>
      <c r="AD65" s="14">
        <v>138.289</v>
      </c>
      <c r="AE65" s="14">
        <v>6967.674</v>
      </c>
      <c r="AF65" s="14">
        <v>46.373</v>
      </c>
      <c r="AG65" s="14">
        <v>158.363</v>
      </c>
      <c r="AH65" s="28">
        <f t="shared" si="1"/>
        <v>6</v>
      </c>
      <c r="AI65" s="14" t="s">
        <v>161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1</v>
      </c>
      <c r="AP65" s="14">
        <v>0</v>
      </c>
      <c r="AQ65" s="28">
        <f t="shared" si="2"/>
        <v>6</v>
      </c>
      <c r="AR65" s="14" t="s">
        <v>161</v>
      </c>
      <c r="AS65" s="14" t="s">
        <v>165</v>
      </c>
      <c r="AT65" s="14" t="s">
        <v>164</v>
      </c>
      <c r="AU65" s="14" t="s">
        <v>163</v>
      </c>
      <c r="AV65" s="14" t="s">
        <v>162</v>
      </c>
      <c r="AW65" s="14" t="s">
        <v>168</v>
      </c>
      <c r="AX65" s="14" t="s">
        <v>166</v>
      </c>
      <c r="AY65" s="14" t="s">
        <v>167</v>
      </c>
      <c r="AZ65" s="40">
        <f t="shared" si="3"/>
        <v>6</v>
      </c>
      <c r="BA65" s="14" t="s">
        <v>161</v>
      </c>
      <c r="BB65" s="14">
        <v>61.631</v>
      </c>
      <c r="BC65" s="14">
        <v>61.906</v>
      </c>
      <c r="BD65" s="14">
        <v>260.298</v>
      </c>
      <c r="BE65" s="14">
        <v>113.974</v>
      </c>
      <c r="BF65" s="14">
        <v>6930.575</v>
      </c>
      <c r="BG65" s="14">
        <v>30.91</v>
      </c>
      <c r="BH65" s="14">
        <v>145.794</v>
      </c>
      <c r="BI65" s="28">
        <f t="shared" si="4"/>
        <v>6</v>
      </c>
      <c r="BJ65" s="14" t="s">
        <v>161</v>
      </c>
      <c r="BK65" s="14">
        <v>1e-6</v>
      </c>
      <c r="BL65" s="14">
        <v>0</v>
      </c>
      <c r="BM65" s="14">
        <v>0</v>
      </c>
      <c r="BN65" s="14">
        <v>0</v>
      </c>
      <c r="BO65" s="14">
        <v>0</v>
      </c>
      <c r="BP65" s="14">
        <v>0.999999</v>
      </c>
      <c r="BQ65" s="14">
        <v>0</v>
      </c>
      <c r="BR65" s="28">
        <f t="shared" si="5"/>
        <v>6</v>
      </c>
      <c r="BS65" s="28">
        <f t="shared" si="6"/>
        <v>0</v>
      </c>
      <c r="BT65" s="28">
        <f t="shared" si="7"/>
        <v>0</v>
      </c>
      <c r="BU65" s="28">
        <f t="shared" si="8"/>
        <v>1</v>
      </c>
      <c r="BV65" s="28">
        <f t="shared" si="9"/>
        <v>1</v>
      </c>
      <c r="BW65" s="14">
        <v>5</v>
      </c>
      <c r="BX65" s="15">
        <v>5</v>
      </c>
    </row>
    <row r="66" spans="1:76">
      <c r="A66" s="36" t="s">
        <v>74</v>
      </c>
      <c r="B66" s="37">
        <v>-0.416822067126133</v>
      </c>
      <c r="C66" s="37">
        <v>-0.58114704647944</v>
      </c>
      <c r="D66" s="37">
        <v>-0.516607185134766</v>
      </c>
      <c r="E66" s="37">
        <v>-0.403871661188289</v>
      </c>
      <c r="F66" s="37">
        <v>-0.469622288818686</v>
      </c>
      <c r="G66" s="37">
        <v>-0.838325825295454</v>
      </c>
      <c r="H66" s="37">
        <v>-0.792281654653966</v>
      </c>
      <c r="I66" s="37">
        <v>-0.312252385233108</v>
      </c>
      <c r="J66" s="37">
        <v>-0.747315020144953</v>
      </c>
      <c r="K66" s="7">
        <v>3</v>
      </c>
      <c r="L66" s="7">
        <v>7</v>
      </c>
      <c r="M66" s="7">
        <v>5</v>
      </c>
      <c r="N66" s="7">
        <v>1</v>
      </c>
      <c r="O66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3.14849462295074</v>
      </c>
      <c r="P66" s="39"/>
      <c r="Q66" s="3" t="s">
        <v>161</v>
      </c>
      <c r="R66" s="3" t="s">
        <v>163</v>
      </c>
      <c r="S66" s="3" t="s">
        <v>164</v>
      </c>
      <c r="T66" s="3" t="s">
        <v>162</v>
      </c>
      <c r="U66" s="3" t="s">
        <v>165</v>
      </c>
      <c r="V66" s="3" t="s">
        <v>168</v>
      </c>
      <c r="W66" s="3" t="s">
        <v>166</v>
      </c>
      <c r="X66" s="3" t="s">
        <v>167</v>
      </c>
      <c r="Y66" s="40">
        <f t="shared" ref="Y66:Y86" si="10">VALUE(RIGHT(R66,1))</f>
        <v>2</v>
      </c>
      <c r="Z66" s="14" t="s">
        <v>161</v>
      </c>
      <c r="AA66" s="14">
        <v>23.461</v>
      </c>
      <c r="AB66" s="14">
        <v>53.181</v>
      </c>
      <c r="AC66" s="14">
        <v>174.162</v>
      </c>
      <c r="AD66" s="14">
        <v>83.775</v>
      </c>
      <c r="AE66" s="14">
        <v>6943.402</v>
      </c>
      <c r="AF66" s="14">
        <v>101.589</v>
      </c>
      <c r="AG66" s="14">
        <v>56.504</v>
      </c>
      <c r="AH66" s="28">
        <f t="shared" ref="AH66:AH86" si="11">MATCH(MIN(AA66:AG66),AA66:AG66,0)</f>
        <v>1</v>
      </c>
      <c r="AI66" s="14" t="s">
        <v>161</v>
      </c>
      <c r="AJ66" s="14">
        <v>1</v>
      </c>
      <c r="AK66" s="14">
        <v>0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28">
        <f t="shared" ref="AQ66:AQ86" si="12">MATCH(MAX(AJ66:AP66),AJ66:AP66,0)</f>
        <v>1</v>
      </c>
      <c r="AR66" s="14" t="s">
        <v>161</v>
      </c>
      <c r="AS66" s="14" t="s">
        <v>163</v>
      </c>
      <c r="AT66" s="14" t="s">
        <v>164</v>
      </c>
      <c r="AU66" s="14" t="s">
        <v>162</v>
      </c>
      <c r="AV66" s="14" t="s">
        <v>165</v>
      </c>
      <c r="AW66" s="14" t="s">
        <v>168</v>
      </c>
      <c r="AX66" s="14" t="s">
        <v>166</v>
      </c>
      <c r="AY66" s="14" t="s">
        <v>167</v>
      </c>
      <c r="AZ66" s="40">
        <f t="shared" ref="AZ66:AZ86" si="13">VALUE(RIGHT(AS66,1))</f>
        <v>2</v>
      </c>
      <c r="BA66" s="14" t="s">
        <v>161</v>
      </c>
      <c r="BB66" s="14">
        <v>26.517</v>
      </c>
      <c r="BC66" s="14">
        <v>22.461</v>
      </c>
      <c r="BD66" s="14">
        <v>266.907</v>
      </c>
      <c r="BE66" s="14">
        <v>46.172</v>
      </c>
      <c r="BF66" s="14">
        <v>7255.324</v>
      </c>
      <c r="BG66" s="14">
        <v>57.862</v>
      </c>
      <c r="BH66" s="14">
        <v>126.626</v>
      </c>
      <c r="BI66" s="28">
        <f t="shared" ref="BI66:BI86" si="14">MATCH(MIN(BB66:BH66),BB66:BH66,0)</f>
        <v>2</v>
      </c>
      <c r="BJ66" s="14" t="s">
        <v>161</v>
      </c>
      <c r="BK66" s="14">
        <v>0.247524</v>
      </c>
      <c r="BL66" s="14">
        <v>0.752468</v>
      </c>
      <c r="BM66" s="14">
        <v>0</v>
      </c>
      <c r="BN66" s="14">
        <v>8e-6</v>
      </c>
      <c r="BO66" s="14">
        <v>0</v>
      </c>
      <c r="BP66" s="14">
        <v>0</v>
      </c>
      <c r="BQ66" s="14">
        <v>0</v>
      </c>
      <c r="BR66" s="28">
        <f t="shared" ref="BR66:BR86" si="15">MATCH(MAX(BK66:BQ66),BK66:BQ66,0)</f>
        <v>2</v>
      </c>
      <c r="BS66" s="28">
        <f t="shared" ref="BS66:BS86" si="16">IF(P66=Y66,1,0)</f>
        <v>0</v>
      </c>
      <c r="BT66" s="28">
        <f t="shared" ref="BT66:BT86" si="17">IF(P66=AZ66,1,0)</f>
        <v>0</v>
      </c>
      <c r="BU66" s="28">
        <f t="shared" ref="BU66:BU86" si="18">IF(N66=Y66,1,0)</f>
        <v>0</v>
      </c>
      <c r="BV66" s="28">
        <f t="shared" ref="BV66:BV86" si="19">IF(N66=AZ66,1,0)</f>
        <v>0</v>
      </c>
      <c r="BW66" s="14">
        <v>6</v>
      </c>
      <c r="BX66" s="15">
        <v>4</v>
      </c>
    </row>
    <row r="67" spans="1:76">
      <c r="A67" s="34" t="s">
        <v>75</v>
      </c>
      <c r="B67" s="35">
        <v>1.94106380855457</v>
      </c>
      <c r="C67" s="35">
        <v>1.7117063823845</v>
      </c>
      <c r="D67" s="35">
        <v>-0.869093813421548</v>
      </c>
      <c r="E67" s="35">
        <v>-0.105357824657815</v>
      </c>
      <c r="F67" s="35">
        <v>-0.590456108932616</v>
      </c>
      <c r="G67" s="35">
        <v>-1.63280137316765</v>
      </c>
      <c r="H67" s="35">
        <v>2.64854270206036</v>
      </c>
      <c r="I67" s="35">
        <v>0.25162247673357</v>
      </c>
      <c r="J67" s="35">
        <v>0.0756264504156421</v>
      </c>
      <c r="K67" s="6">
        <v>4</v>
      </c>
      <c r="L67" s="6">
        <v>6</v>
      </c>
      <c r="M67" s="6">
        <v>6</v>
      </c>
      <c r="N67" s="6">
        <v>6</v>
      </c>
      <c r="O67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17.5625821923516</v>
      </c>
      <c r="P67" s="39"/>
      <c r="Q67" s="3" t="s">
        <v>161</v>
      </c>
      <c r="R67" s="3" t="s">
        <v>165</v>
      </c>
      <c r="S67" s="3" t="s">
        <v>162</v>
      </c>
      <c r="T67" s="3" t="s">
        <v>163</v>
      </c>
      <c r="U67" s="3" t="s">
        <v>164</v>
      </c>
      <c r="V67" s="3" t="s">
        <v>166</v>
      </c>
      <c r="W67" s="3" t="s">
        <v>167</v>
      </c>
      <c r="X67" s="3" t="s">
        <v>168</v>
      </c>
      <c r="Y67" s="40">
        <f t="shared" si="10"/>
        <v>6</v>
      </c>
      <c r="Z67" s="14" t="s">
        <v>165</v>
      </c>
      <c r="AA67" s="14">
        <v>78.841</v>
      </c>
      <c r="AB67" s="14">
        <v>60.73</v>
      </c>
      <c r="AC67" s="14">
        <v>327.016</v>
      </c>
      <c r="AD67" s="14">
        <v>82.967</v>
      </c>
      <c r="AE67" s="14">
        <v>6720.746</v>
      </c>
      <c r="AF67" s="14">
        <v>12.2</v>
      </c>
      <c r="AG67" s="14">
        <v>174.864</v>
      </c>
      <c r="AH67" s="28">
        <f t="shared" si="11"/>
        <v>6</v>
      </c>
      <c r="AI67" s="14" t="s">
        <v>165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1</v>
      </c>
      <c r="AP67" s="14">
        <v>0</v>
      </c>
      <c r="AQ67" s="28">
        <f t="shared" si="12"/>
        <v>6</v>
      </c>
      <c r="AR67" s="14" t="s">
        <v>161</v>
      </c>
      <c r="AS67" s="14" t="s">
        <v>165</v>
      </c>
      <c r="AT67" s="14" t="s">
        <v>162</v>
      </c>
      <c r="AU67" s="14" t="s">
        <v>163</v>
      </c>
      <c r="AV67" s="14" t="s">
        <v>164</v>
      </c>
      <c r="AW67" s="14" t="s">
        <v>166</v>
      </c>
      <c r="AX67" s="14" t="s">
        <v>167</v>
      </c>
      <c r="AY67" s="14" t="s">
        <v>168</v>
      </c>
      <c r="AZ67" s="40">
        <f t="shared" si="13"/>
        <v>6</v>
      </c>
      <c r="BA67" s="14" t="s">
        <v>161</v>
      </c>
      <c r="BB67" s="14">
        <v>163.436</v>
      </c>
      <c r="BC67" s="14">
        <v>153.464</v>
      </c>
      <c r="BD67" s="14">
        <v>261.434</v>
      </c>
      <c r="BE67" s="14">
        <v>145.646</v>
      </c>
      <c r="BF67" s="14">
        <v>5911.515</v>
      </c>
      <c r="BG67" s="14">
        <v>62.913</v>
      </c>
      <c r="BH67" s="14">
        <v>232.757</v>
      </c>
      <c r="BI67" s="28">
        <f t="shared" si="14"/>
        <v>6</v>
      </c>
      <c r="BJ67" s="14" t="s">
        <v>161</v>
      </c>
      <c r="BK67" s="14">
        <v>0</v>
      </c>
      <c r="BL67" s="14">
        <v>0</v>
      </c>
      <c r="BM67" s="14">
        <v>0</v>
      </c>
      <c r="BN67" s="14">
        <v>0</v>
      </c>
      <c r="BO67" s="14">
        <v>0</v>
      </c>
      <c r="BP67" s="14">
        <v>1</v>
      </c>
      <c r="BQ67" s="14">
        <v>0</v>
      </c>
      <c r="BR67" s="28">
        <f t="shared" si="15"/>
        <v>6</v>
      </c>
      <c r="BS67" s="28">
        <f t="shared" si="16"/>
        <v>0</v>
      </c>
      <c r="BT67" s="28">
        <f t="shared" si="17"/>
        <v>0</v>
      </c>
      <c r="BU67" s="28">
        <f t="shared" si="18"/>
        <v>1</v>
      </c>
      <c r="BV67" s="28">
        <f t="shared" si="19"/>
        <v>1</v>
      </c>
      <c r="BW67" s="14">
        <v>5</v>
      </c>
      <c r="BX67" s="15">
        <v>6</v>
      </c>
    </row>
    <row r="68" spans="1:76">
      <c r="A68" s="36" t="s">
        <v>76</v>
      </c>
      <c r="B68" s="37">
        <v>0.694306528734909</v>
      </c>
      <c r="C68" s="37">
        <v>0.129144689111808</v>
      </c>
      <c r="D68" s="37">
        <v>0.371769992054597</v>
      </c>
      <c r="E68" s="37">
        <v>-0.403871661188289</v>
      </c>
      <c r="F68" s="37">
        <v>0.410106864937607</v>
      </c>
      <c r="G68" s="37">
        <v>-0.424184316298244</v>
      </c>
      <c r="H68" s="37">
        <v>0.742860647638261</v>
      </c>
      <c r="I68" s="37">
        <v>-0.353829953285026</v>
      </c>
      <c r="J68" s="37">
        <v>-0.206864839086186</v>
      </c>
      <c r="K68" s="7">
        <v>3</v>
      </c>
      <c r="L68" s="7">
        <v>7</v>
      </c>
      <c r="M68" s="7">
        <v>5</v>
      </c>
      <c r="N68" s="7">
        <v>2</v>
      </c>
      <c r="O68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1.86801576643668</v>
      </c>
      <c r="P68" s="39"/>
      <c r="Q68" s="3" t="s">
        <v>161</v>
      </c>
      <c r="R68" s="3" t="s">
        <v>163</v>
      </c>
      <c r="S68" s="3" t="s">
        <v>164</v>
      </c>
      <c r="T68" s="3" t="s">
        <v>165</v>
      </c>
      <c r="U68" s="3" t="s">
        <v>162</v>
      </c>
      <c r="V68" s="3" t="s">
        <v>168</v>
      </c>
      <c r="W68" s="3" t="s">
        <v>166</v>
      </c>
      <c r="X68" s="3" t="s">
        <v>167</v>
      </c>
      <c r="Y68" s="40">
        <f t="shared" si="10"/>
        <v>2</v>
      </c>
      <c r="Z68" s="14" t="s">
        <v>163</v>
      </c>
      <c r="AA68" s="14">
        <v>16.661</v>
      </c>
      <c r="AB68" s="14">
        <v>2.969</v>
      </c>
      <c r="AC68" s="14">
        <v>273.35</v>
      </c>
      <c r="AD68" s="14">
        <v>13.212</v>
      </c>
      <c r="AE68" s="14">
        <v>6771.796</v>
      </c>
      <c r="AF68" s="14">
        <v>46.416</v>
      </c>
      <c r="AG68" s="14">
        <v>128.941</v>
      </c>
      <c r="AH68" s="28">
        <f t="shared" si="11"/>
        <v>2</v>
      </c>
      <c r="AI68" s="14" t="s">
        <v>163</v>
      </c>
      <c r="AJ68" s="14">
        <v>0.002629</v>
      </c>
      <c r="AK68" s="14">
        <v>0.988525</v>
      </c>
      <c r="AL68" s="14">
        <v>0</v>
      </c>
      <c r="AM68" s="14">
        <v>0.008847</v>
      </c>
      <c r="AN68" s="14">
        <v>0</v>
      </c>
      <c r="AO68" s="14">
        <v>0</v>
      </c>
      <c r="AP68" s="14">
        <v>0</v>
      </c>
      <c r="AQ68" s="28">
        <f t="shared" si="12"/>
        <v>2</v>
      </c>
      <c r="AR68" s="14" t="s">
        <v>161</v>
      </c>
      <c r="AS68" s="14" t="s">
        <v>164</v>
      </c>
      <c r="AT68" s="14" t="s">
        <v>163</v>
      </c>
      <c r="AU68" s="14" t="s">
        <v>165</v>
      </c>
      <c r="AV68" s="14" t="s">
        <v>162</v>
      </c>
      <c r="AW68" s="14" t="s">
        <v>168</v>
      </c>
      <c r="AX68" s="14" t="s">
        <v>166</v>
      </c>
      <c r="AY68" s="14" t="s">
        <v>167</v>
      </c>
      <c r="AZ68" s="40">
        <f t="shared" si="13"/>
        <v>1</v>
      </c>
      <c r="BA68" s="14" t="s">
        <v>161</v>
      </c>
      <c r="BB68" s="14">
        <v>15.155</v>
      </c>
      <c r="BC68" s="14">
        <v>14.191</v>
      </c>
      <c r="BD68" s="14">
        <v>217.768</v>
      </c>
      <c r="BE68" s="14">
        <v>36.741</v>
      </c>
      <c r="BF68" s="14">
        <v>6780.665</v>
      </c>
      <c r="BG68" s="14">
        <v>15.277</v>
      </c>
      <c r="BH68" s="14">
        <v>87.302</v>
      </c>
      <c r="BI68" s="28">
        <f t="shared" si="14"/>
        <v>2</v>
      </c>
      <c r="BJ68" s="14" t="s">
        <v>161</v>
      </c>
      <c r="BK68" s="14">
        <v>0.518219</v>
      </c>
      <c r="BL68" s="14">
        <v>0.335542</v>
      </c>
      <c r="BM68" s="14">
        <v>0</v>
      </c>
      <c r="BN68" s="14">
        <v>6e-6</v>
      </c>
      <c r="BO68" s="14">
        <v>0</v>
      </c>
      <c r="BP68" s="14">
        <v>0.146233</v>
      </c>
      <c r="BQ68" s="14">
        <v>0</v>
      </c>
      <c r="BR68" s="28">
        <f t="shared" si="15"/>
        <v>1</v>
      </c>
      <c r="BS68" s="28">
        <f t="shared" si="16"/>
        <v>0</v>
      </c>
      <c r="BT68" s="28">
        <f t="shared" si="17"/>
        <v>0</v>
      </c>
      <c r="BU68" s="28">
        <f t="shared" si="18"/>
        <v>1</v>
      </c>
      <c r="BV68" s="28">
        <f t="shared" si="19"/>
        <v>0</v>
      </c>
      <c r="BW68" s="14">
        <v>6</v>
      </c>
      <c r="BX68" s="15">
        <v>5</v>
      </c>
    </row>
    <row r="69" spans="1:76">
      <c r="A69" s="34" t="s">
        <v>77</v>
      </c>
      <c r="B69" s="35">
        <v>0.404231750900225</v>
      </c>
      <c r="C69" s="35">
        <v>-0.34748484525146</v>
      </c>
      <c r="D69" s="35">
        <v>-1.39343499704605</v>
      </c>
      <c r="E69" s="35">
        <v>-0.254614742923052</v>
      </c>
      <c r="F69" s="35">
        <v>-0.238269730795674</v>
      </c>
      <c r="G69" s="35">
        <v>1.76907530788086</v>
      </c>
      <c r="H69" s="35">
        <v>-0.0907965772740666</v>
      </c>
      <c r="I69" s="35">
        <v>-0.0439984043424586</v>
      </c>
      <c r="J69" s="35">
        <v>-2.0682813644363</v>
      </c>
      <c r="K69" s="6">
        <v>5</v>
      </c>
      <c r="L69" s="6">
        <v>7</v>
      </c>
      <c r="M69" s="6">
        <v>2</v>
      </c>
      <c r="N69" s="6">
        <v>1</v>
      </c>
      <c r="O69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9.76500637449289</v>
      </c>
      <c r="P69" s="39"/>
      <c r="Q69" s="3" t="s">
        <v>161</v>
      </c>
      <c r="R69" s="3" t="s">
        <v>166</v>
      </c>
      <c r="S69" s="3" t="s">
        <v>164</v>
      </c>
      <c r="T69" s="3" t="s">
        <v>168</v>
      </c>
      <c r="U69" s="3" t="s">
        <v>163</v>
      </c>
      <c r="V69" s="3" t="s">
        <v>165</v>
      </c>
      <c r="W69" s="3" t="s">
        <v>162</v>
      </c>
      <c r="X69" s="3" t="s">
        <v>167</v>
      </c>
      <c r="Y69" s="40">
        <f t="shared" si="10"/>
        <v>3</v>
      </c>
      <c r="Z69" s="14" t="s">
        <v>164</v>
      </c>
      <c r="AA69" s="14">
        <v>8.266</v>
      </c>
      <c r="AB69" s="14">
        <v>28.403</v>
      </c>
      <c r="AC69" s="14">
        <v>184.667</v>
      </c>
      <c r="AD69" s="14">
        <v>56.285</v>
      </c>
      <c r="AE69" s="14">
        <v>6802.08</v>
      </c>
      <c r="AF69" s="14">
        <v>71.794</v>
      </c>
      <c r="AG69" s="14">
        <v>53.97</v>
      </c>
      <c r="AH69" s="28">
        <f t="shared" si="11"/>
        <v>1</v>
      </c>
      <c r="AI69" s="14" t="s">
        <v>164</v>
      </c>
      <c r="AJ69" s="14">
        <v>0.999983</v>
      </c>
      <c r="AK69" s="14">
        <v>1.7e-5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28">
        <f t="shared" si="12"/>
        <v>1</v>
      </c>
      <c r="AR69" s="14" t="s">
        <v>161</v>
      </c>
      <c r="AS69" s="14" t="s">
        <v>166</v>
      </c>
      <c r="AT69" s="14" t="s">
        <v>164</v>
      </c>
      <c r="AU69" s="14" t="s">
        <v>168</v>
      </c>
      <c r="AV69" s="14" t="s">
        <v>165</v>
      </c>
      <c r="AW69" s="14" t="s">
        <v>163</v>
      </c>
      <c r="AX69" s="14" t="s">
        <v>162</v>
      </c>
      <c r="AY69" s="14" t="s">
        <v>167</v>
      </c>
      <c r="AZ69" s="40">
        <f t="shared" si="13"/>
        <v>3</v>
      </c>
      <c r="BA69" s="14" t="s">
        <v>161</v>
      </c>
      <c r="BB69" s="14">
        <v>105.634</v>
      </c>
      <c r="BC69" s="14">
        <v>170.466</v>
      </c>
      <c r="BD69" s="14">
        <v>36.378</v>
      </c>
      <c r="BE69" s="14">
        <v>199.119</v>
      </c>
      <c r="BF69" s="14">
        <v>5806.679</v>
      </c>
      <c r="BG69" s="14">
        <v>169.12</v>
      </c>
      <c r="BH69" s="14">
        <v>140.125</v>
      </c>
      <c r="BI69" s="28">
        <f t="shared" si="14"/>
        <v>3</v>
      </c>
      <c r="BJ69" s="14" t="s">
        <v>161</v>
      </c>
      <c r="BK69" s="14">
        <v>0</v>
      </c>
      <c r="BL69" s="14">
        <v>0</v>
      </c>
      <c r="BM69" s="14">
        <v>1</v>
      </c>
      <c r="BN69" s="14">
        <v>0</v>
      </c>
      <c r="BO69" s="14">
        <v>0</v>
      </c>
      <c r="BP69" s="14">
        <v>0</v>
      </c>
      <c r="BQ69" s="14">
        <v>0</v>
      </c>
      <c r="BR69" s="28">
        <f t="shared" si="15"/>
        <v>3</v>
      </c>
      <c r="BS69" s="28">
        <f t="shared" si="16"/>
        <v>0</v>
      </c>
      <c r="BT69" s="28">
        <f t="shared" si="17"/>
        <v>0</v>
      </c>
      <c r="BU69" s="28">
        <f t="shared" si="18"/>
        <v>0</v>
      </c>
      <c r="BV69" s="28">
        <f t="shared" si="19"/>
        <v>0</v>
      </c>
      <c r="BW69" s="14">
        <v>6</v>
      </c>
      <c r="BX69" s="15">
        <v>4</v>
      </c>
    </row>
    <row r="70" spans="1:76">
      <c r="A70" s="36" t="s">
        <v>78</v>
      </c>
      <c r="B70" s="37">
        <v>-0.076082973063965</v>
      </c>
      <c r="C70" s="37">
        <v>-0.430197128871984</v>
      </c>
      <c r="D70" s="37">
        <v>-0.630714914082125</v>
      </c>
      <c r="E70" s="37">
        <v>-0.344168893882194</v>
      </c>
      <c r="F70" s="37">
        <v>0.197910888152169</v>
      </c>
      <c r="G70" s="37">
        <v>-0.846777692826009</v>
      </c>
      <c r="H70" s="37">
        <v>-0.415447990736836</v>
      </c>
      <c r="I70" s="37">
        <v>-0.145896831968328</v>
      </c>
      <c r="J70" s="37">
        <v>1.48928712024362</v>
      </c>
      <c r="K70" s="7">
        <v>3</v>
      </c>
      <c r="L70" s="7">
        <v>7</v>
      </c>
      <c r="M70" s="7">
        <v>4</v>
      </c>
      <c r="N70" s="7">
        <v>4</v>
      </c>
      <c r="O70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3.87517194466777</v>
      </c>
      <c r="P70" s="39">
        <v>4</v>
      </c>
      <c r="Q70" s="3" t="s">
        <v>162</v>
      </c>
      <c r="R70" s="3" t="s">
        <v>162</v>
      </c>
      <c r="S70" s="3" t="s">
        <v>163</v>
      </c>
      <c r="T70" s="3" t="s">
        <v>164</v>
      </c>
      <c r="U70" s="3" t="s">
        <v>165</v>
      </c>
      <c r="V70" s="3" t="s">
        <v>168</v>
      </c>
      <c r="W70" s="3" t="s">
        <v>166</v>
      </c>
      <c r="X70" s="3" t="s">
        <v>167</v>
      </c>
      <c r="Y70" s="40">
        <f t="shared" si="10"/>
        <v>4</v>
      </c>
      <c r="Z70" s="14" t="s">
        <v>161</v>
      </c>
      <c r="AA70" s="14">
        <v>31.399</v>
      </c>
      <c r="AB70" s="14">
        <v>35.053</v>
      </c>
      <c r="AC70" s="14">
        <v>276.285</v>
      </c>
      <c r="AD70" s="14">
        <v>13.328</v>
      </c>
      <c r="AE70" s="14">
        <v>6544.102</v>
      </c>
      <c r="AF70" s="14">
        <v>34.329</v>
      </c>
      <c r="AG70" s="14">
        <v>150.665</v>
      </c>
      <c r="AH70" s="28">
        <f t="shared" si="11"/>
        <v>4</v>
      </c>
      <c r="AI70" s="14" t="s">
        <v>161</v>
      </c>
      <c r="AJ70" s="14">
        <v>0.000198</v>
      </c>
      <c r="AK70" s="14">
        <v>1.3e-5</v>
      </c>
      <c r="AL70" s="14">
        <v>0</v>
      </c>
      <c r="AM70" s="14">
        <v>0.999775</v>
      </c>
      <c r="AN70" s="14">
        <v>0</v>
      </c>
      <c r="AO70" s="14">
        <v>1.4e-5</v>
      </c>
      <c r="AP70" s="14">
        <v>0</v>
      </c>
      <c r="AQ70" s="28">
        <f t="shared" si="12"/>
        <v>4</v>
      </c>
      <c r="AR70" s="14" t="s">
        <v>162</v>
      </c>
      <c r="AS70" s="14" t="s">
        <v>162</v>
      </c>
      <c r="AT70" s="14" t="s">
        <v>163</v>
      </c>
      <c r="AU70" s="14" t="s">
        <v>164</v>
      </c>
      <c r="AV70" s="14" t="s">
        <v>165</v>
      </c>
      <c r="AW70" s="14" t="s">
        <v>168</v>
      </c>
      <c r="AX70" s="14" t="s">
        <v>166</v>
      </c>
      <c r="AY70" s="14" t="s">
        <v>167</v>
      </c>
      <c r="AZ70" s="40">
        <f t="shared" si="13"/>
        <v>4</v>
      </c>
      <c r="BA70" s="14" t="s">
        <v>162</v>
      </c>
      <c r="BB70" s="14">
        <v>39.046</v>
      </c>
      <c r="BC70" s="14">
        <v>28.334</v>
      </c>
      <c r="BD70" s="14">
        <v>269.143</v>
      </c>
      <c r="BE70" s="14">
        <v>4.03</v>
      </c>
      <c r="BF70" s="14">
        <v>6469.915</v>
      </c>
      <c r="BG70" s="14">
        <v>62.314</v>
      </c>
      <c r="BH70" s="14">
        <v>123.129</v>
      </c>
      <c r="BI70" s="28">
        <f t="shared" si="14"/>
        <v>4</v>
      </c>
      <c r="BJ70" s="14" t="s">
        <v>162</v>
      </c>
      <c r="BK70" s="14">
        <v>0</v>
      </c>
      <c r="BL70" s="14">
        <v>4e-6</v>
      </c>
      <c r="BM70" s="14">
        <v>0</v>
      </c>
      <c r="BN70" s="14">
        <v>0.999996</v>
      </c>
      <c r="BO70" s="14">
        <v>0</v>
      </c>
      <c r="BP70" s="14">
        <v>0</v>
      </c>
      <c r="BQ70" s="14">
        <v>0</v>
      </c>
      <c r="BR70" s="28">
        <f t="shared" si="15"/>
        <v>4</v>
      </c>
      <c r="BS70" s="28">
        <f t="shared" si="16"/>
        <v>1</v>
      </c>
      <c r="BT70" s="28">
        <f t="shared" si="17"/>
        <v>1</v>
      </c>
      <c r="BU70" s="28">
        <f t="shared" si="18"/>
        <v>1</v>
      </c>
      <c r="BV70" s="28">
        <f t="shared" si="19"/>
        <v>1</v>
      </c>
      <c r="BW70" s="14">
        <v>6</v>
      </c>
      <c r="BX70" s="15">
        <v>4</v>
      </c>
    </row>
    <row r="71" spans="1:76">
      <c r="A71" s="34" t="s">
        <v>79</v>
      </c>
      <c r="B71" s="35">
        <v>-0.891382870313852</v>
      </c>
      <c r="C71" s="35">
        <v>-0.71107425866668</v>
      </c>
      <c r="D71" s="35">
        <v>-0.360921741186344</v>
      </c>
      <c r="E71" s="35">
        <v>-0.135209208310862</v>
      </c>
      <c r="F71" s="35">
        <v>-0.476990204679292</v>
      </c>
      <c r="G71" s="35">
        <v>0.167446410840629</v>
      </c>
      <c r="H71" s="35">
        <v>-0.656104290529646</v>
      </c>
      <c r="I71" s="35">
        <v>-0.332512701495226</v>
      </c>
      <c r="J71" s="35">
        <v>-0.582500348770372</v>
      </c>
      <c r="K71" s="6">
        <v>3</v>
      </c>
      <c r="L71" s="6">
        <v>7</v>
      </c>
      <c r="M71" s="6">
        <v>5</v>
      </c>
      <c r="N71" s="6">
        <v>1</v>
      </c>
      <c r="O71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2.58463820498843</v>
      </c>
      <c r="P71" s="39">
        <v>1</v>
      </c>
      <c r="Q71" s="3" t="s">
        <v>164</v>
      </c>
      <c r="R71" s="3" t="s">
        <v>164</v>
      </c>
      <c r="S71" s="3" t="s">
        <v>163</v>
      </c>
      <c r="T71" s="3" t="s">
        <v>162</v>
      </c>
      <c r="U71" s="3" t="s">
        <v>165</v>
      </c>
      <c r="V71" s="3" t="s">
        <v>168</v>
      </c>
      <c r="W71" s="3" t="s">
        <v>166</v>
      </c>
      <c r="X71" s="3" t="s">
        <v>167</v>
      </c>
      <c r="Y71" s="40">
        <f t="shared" si="10"/>
        <v>1</v>
      </c>
      <c r="Z71" s="14" t="s">
        <v>164</v>
      </c>
      <c r="AA71" s="14">
        <v>5.738</v>
      </c>
      <c r="AB71" s="14">
        <v>23.404</v>
      </c>
      <c r="AC71" s="14">
        <v>193.415</v>
      </c>
      <c r="AD71" s="14">
        <v>27.687</v>
      </c>
      <c r="AE71" s="14">
        <v>6689.336</v>
      </c>
      <c r="AF71" s="14">
        <v>47.894</v>
      </c>
      <c r="AG71" s="14">
        <v>92.202</v>
      </c>
      <c r="AH71" s="28">
        <f t="shared" si="11"/>
        <v>1</v>
      </c>
      <c r="AI71" s="14" t="s">
        <v>164</v>
      </c>
      <c r="AJ71" s="14">
        <v>0.999931</v>
      </c>
      <c r="AK71" s="14">
        <v>5.8e-5</v>
      </c>
      <c r="AL71" s="14">
        <v>0</v>
      </c>
      <c r="AM71" s="14">
        <v>1e-5</v>
      </c>
      <c r="AN71" s="14">
        <v>0</v>
      </c>
      <c r="AO71" s="14">
        <v>0</v>
      </c>
      <c r="AP71" s="14">
        <v>0</v>
      </c>
      <c r="AQ71" s="28">
        <f t="shared" si="12"/>
        <v>1</v>
      </c>
      <c r="AR71" s="14" t="s">
        <v>164</v>
      </c>
      <c r="AS71" s="14" t="s">
        <v>164</v>
      </c>
      <c r="AT71" s="14" t="s">
        <v>163</v>
      </c>
      <c r="AU71" s="14" t="s">
        <v>162</v>
      </c>
      <c r="AV71" s="14" t="s">
        <v>165</v>
      </c>
      <c r="AW71" s="14" t="s">
        <v>168</v>
      </c>
      <c r="AX71" s="14" t="s">
        <v>166</v>
      </c>
      <c r="AY71" s="14" t="s">
        <v>167</v>
      </c>
      <c r="AZ71" s="40">
        <f t="shared" si="13"/>
        <v>1</v>
      </c>
      <c r="BA71" s="14" t="s">
        <v>164</v>
      </c>
      <c r="BB71" s="14">
        <v>2.959</v>
      </c>
      <c r="BC71" s="14">
        <v>13.911</v>
      </c>
      <c r="BD71" s="14">
        <v>158.53</v>
      </c>
      <c r="BE71" s="14">
        <v>33.596</v>
      </c>
      <c r="BF71" s="14">
        <v>6688.525</v>
      </c>
      <c r="BG71" s="14">
        <v>47.471</v>
      </c>
      <c r="BH71" s="14">
        <v>86.073</v>
      </c>
      <c r="BI71" s="28">
        <f t="shared" si="14"/>
        <v>1</v>
      </c>
      <c r="BJ71" s="14" t="s">
        <v>164</v>
      </c>
      <c r="BK71" s="14">
        <v>0.998329</v>
      </c>
      <c r="BL71" s="14">
        <v>0.001671</v>
      </c>
      <c r="BM71" s="14">
        <v>0</v>
      </c>
      <c r="BN71" s="14">
        <v>0</v>
      </c>
      <c r="BO71" s="14">
        <v>0</v>
      </c>
      <c r="BP71" s="14">
        <v>0</v>
      </c>
      <c r="BQ71" s="14">
        <v>0</v>
      </c>
      <c r="BR71" s="28">
        <f t="shared" si="15"/>
        <v>1</v>
      </c>
      <c r="BS71" s="28">
        <f t="shared" si="16"/>
        <v>1</v>
      </c>
      <c r="BT71" s="28">
        <f t="shared" si="17"/>
        <v>1</v>
      </c>
      <c r="BU71" s="28">
        <f t="shared" si="18"/>
        <v>1</v>
      </c>
      <c r="BV71" s="28">
        <f t="shared" si="19"/>
        <v>1</v>
      </c>
      <c r="BW71" s="14">
        <v>2</v>
      </c>
      <c r="BX71" s="15">
        <v>3</v>
      </c>
    </row>
    <row r="72" spans="1:76">
      <c r="A72" s="36" t="s">
        <v>80</v>
      </c>
      <c r="B72" s="37">
        <v>-0.680465529443651</v>
      </c>
      <c r="C72" s="37">
        <v>-0.693153263882233</v>
      </c>
      <c r="D72" s="37">
        <v>-0.713870344084249</v>
      </c>
      <c r="E72" s="37">
        <v>-0.463574428494383</v>
      </c>
      <c r="F72" s="37">
        <v>-0.398890296556874</v>
      </c>
      <c r="G72" s="37">
        <v>0.281546622503126</v>
      </c>
      <c r="H72" s="37">
        <v>-0.415447990736836</v>
      </c>
      <c r="I72" s="37">
        <v>-0.195590709653431</v>
      </c>
      <c r="J72" s="37">
        <v>3.33501082095287</v>
      </c>
      <c r="K72" s="7">
        <v>3</v>
      </c>
      <c r="L72" s="7">
        <v>7</v>
      </c>
      <c r="M72" s="7">
        <v>4</v>
      </c>
      <c r="N72" s="7">
        <v>4</v>
      </c>
      <c r="O72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13.2395388068214</v>
      </c>
      <c r="P72" s="39"/>
      <c r="Q72" s="3" t="s">
        <v>161</v>
      </c>
      <c r="R72" s="3" t="s">
        <v>162</v>
      </c>
      <c r="S72" s="3" t="s">
        <v>163</v>
      </c>
      <c r="T72" s="3" t="s">
        <v>164</v>
      </c>
      <c r="U72" s="3" t="s">
        <v>165</v>
      </c>
      <c r="V72" s="3" t="s">
        <v>166</v>
      </c>
      <c r="W72" s="3" t="s">
        <v>167</v>
      </c>
      <c r="X72" s="3" t="s">
        <v>168</v>
      </c>
      <c r="Y72" s="40">
        <f t="shared" si="10"/>
        <v>4</v>
      </c>
      <c r="Z72" s="14" t="s">
        <v>161</v>
      </c>
      <c r="AA72" s="14">
        <v>111.272</v>
      </c>
      <c r="AB72" s="14">
        <v>100.846</v>
      </c>
      <c r="AC72" s="14">
        <v>389.526</v>
      </c>
      <c r="AD72" s="14">
        <v>33.63</v>
      </c>
      <c r="AE72" s="14">
        <v>6105.857</v>
      </c>
      <c r="AF72" s="14">
        <v>140.797</v>
      </c>
      <c r="AG72" s="14">
        <v>241.169</v>
      </c>
      <c r="AH72" s="28">
        <f t="shared" si="11"/>
        <v>4</v>
      </c>
      <c r="AI72" s="14" t="s">
        <v>161</v>
      </c>
      <c r="AJ72" s="14">
        <v>0</v>
      </c>
      <c r="AK72" s="14">
        <v>0</v>
      </c>
      <c r="AL72" s="14">
        <v>0</v>
      </c>
      <c r="AM72" s="14">
        <v>1</v>
      </c>
      <c r="AN72" s="14">
        <v>0</v>
      </c>
      <c r="AO72" s="14">
        <v>0</v>
      </c>
      <c r="AP72" s="14">
        <v>0</v>
      </c>
      <c r="AQ72" s="28">
        <f t="shared" si="12"/>
        <v>4</v>
      </c>
      <c r="AR72" s="14" t="s">
        <v>161</v>
      </c>
      <c r="AS72" s="14" t="s">
        <v>162</v>
      </c>
      <c r="AT72" s="14" t="s">
        <v>163</v>
      </c>
      <c r="AU72" s="14" t="s">
        <v>164</v>
      </c>
      <c r="AV72" s="14" t="s">
        <v>165</v>
      </c>
      <c r="AW72" s="14" t="s">
        <v>166</v>
      </c>
      <c r="AX72" s="14" t="s">
        <v>167</v>
      </c>
      <c r="AY72" s="14" t="s">
        <v>168</v>
      </c>
      <c r="AZ72" s="40">
        <f t="shared" si="13"/>
        <v>4</v>
      </c>
      <c r="BA72" s="14" t="s">
        <v>161</v>
      </c>
      <c r="BB72" s="14">
        <v>109.633</v>
      </c>
      <c r="BC72" s="14">
        <v>100.169</v>
      </c>
      <c r="BD72" s="14">
        <v>339.35</v>
      </c>
      <c r="BE72" s="14">
        <v>33.485</v>
      </c>
      <c r="BF72" s="14">
        <v>5997.763</v>
      </c>
      <c r="BG72" s="14">
        <v>136.221</v>
      </c>
      <c r="BH72" s="14">
        <v>239.671</v>
      </c>
      <c r="BI72" s="28">
        <f t="shared" si="14"/>
        <v>4</v>
      </c>
      <c r="BJ72" s="14" t="s">
        <v>161</v>
      </c>
      <c r="BK72" s="14">
        <v>0</v>
      </c>
      <c r="BL72" s="14">
        <v>0</v>
      </c>
      <c r="BM72" s="14">
        <v>0</v>
      </c>
      <c r="BN72" s="14">
        <v>1</v>
      </c>
      <c r="BO72" s="14">
        <v>0</v>
      </c>
      <c r="BP72" s="14">
        <v>0</v>
      </c>
      <c r="BQ72" s="14">
        <v>0</v>
      </c>
      <c r="BR72" s="28">
        <f t="shared" si="15"/>
        <v>4</v>
      </c>
      <c r="BS72" s="28">
        <f t="shared" si="16"/>
        <v>0</v>
      </c>
      <c r="BT72" s="28">
        <f t="shared" si="17"/>
        <v>0</v>
      </c>
      <c r="BU72" s="28">
        <f t="shared" si="18"/>
        <v>1</v>
      </c>
      <c r="BV72" s="28">
        <f t="shared" si="19"/>
        <v>1</v>
      </c>
      <c r="BW72" s="14">
        <v>2</v>
      </c>
      <c r="BX72" s="15">
        <v>3</v>
      </c>
    </row>
    <row r="73" spans="1:76">
      <c r="A73" s="34" t="s">
        <v>81</v>
      </c>
      <c r="B73" s="35">
        <v>0.121718898204434</v>
      </c>
      <c r="C73" s="35">
        <v>-0.23375545527324</v>
      </c>
      <c r="D73" s="35">
        <v>0.223476141884142</v>
      </c>
      <c r="E73" s="35">
        <v>-0.314317510229146</v>
      </c>
      <c r="F73" s="35">
        <v>-0.0643869164853854</v>
      </c>
      <c r="G73" s="35">
        <v>-0.698870011041291</v>
      </c>
      <c r="H73" s="35">
        <v>-0.276524192378076</v>
      </c>
      <c r="I73" s="35">
        <v>-0.228367081246023</v>
      </c>
      <c r="J73" s="35">
        <v>1.93692759027349</v>
      </c>
      <c r="K73" s="6">
        <v>3</v>
      </c>
      <c r="L73" s="6">
        <v>7</v>
      </c>
      <c r="M73" s="6">
        <v>4</v>
      </c>
      <c r="N73" s="6">
        <v>4</v>
      </c>
      <c r="O73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4.59106479635536</v>
      </c>
      <c r="P73" s="39">
        <v>4</v>
      </c>
      <c r="Q73" s="3" t="s">
        <v>162</v>
      </c>
      <c r="R73" s="3" t="s">
        <v>162</v>
      </c>
      <c r="S73" s="3" t="s">
        <v>163</v>
      </c>
      <c r="T73" s="3" t="s">
        <v>164</v>
      </c>
      <c r="U73" s="3" t="s">
        <v>165</v>
      </c>
      <c r="V73" s="3" t="s">
        <v>166</v>
      </c>
      <c r="W73" s="3" t="s">
        <v>167</v>
      </c>
      <c r="X73" s="3" t="s">
        <v>168</v>
      </c>
      <c r="Y73" s="40">
        <f t="shared" si="10"/>
        <v>4</v>
      </c>
      <c r="Z73" s="14" t="s">
        <v>161</v>
      </c>
      <c r="AA73" s="14">
        <v>30.61</v>
      </c>
      <c r="AB73" s="14">
        <v>19.831</v>
      </c>
      <c r="AC73" s="14">
        <v>343.032</v>
      </c>
      <c r="AD73" s="14">
        <v>19.785</v>
      </c>
      <c r="AE73" s="14">
        <v>7142.502</v>
      </c>
      <c r="AF73" s="14">
        <v>64.206</v>
      </c>
      <c r="AG73" s="14">
        <v>136.92</v>
      </c>
      <c r="AH73" s="28">
        <f t="shared" si="11"/>
        <v>4</v>
      </c>
      <c r="AI73" s="14" t="s">
        <v>161</v>
      </c>
      <c r="AJ73" s="14">
        <v>0.004482</v>
      </c>
      <c r="AK73" s="14">
        <v>0.392816</v>
      </c>
      <c r="AL73" s="14">
        <v>0</v>
      </c>
      <c r="AM73" s="14">
        <v>0.602703</v>
      </c>
      <c r="AN73" s="14">
        <v>0</v>
      </c>
      <c r="AO73" s="14">
        <v>0</v>
      </c>
      <c r="AP73" s="14">
        <v>0</v>
      </c>
      <c r="AQ73" s="28">
        <f t="shared" si="12"/>
        <v>4</v>
      </c>
      <c r="AR73" s="14" t="s">
        <v>162</v>
      </c>
      <c r="AS73" s="14" t="s">
        <v>162</v>
      </c>
      <c r="AT73" s="14" t="s">
        <v>163</v>
      </c>
      <c r="AU73" s="14" t="s">
        <v>164</v>
      </c>
      <c r="AV73" s="14" t="s">
        <v>165</v>
      </c>
      <c r="AW73" s="14" t="s">
        <v>166</v>
      </c>
      <c r="AX73" s="14" t="s">
        <v>167</v>
      </c>
      <c r="AY73" s="14" t="s">
        <v>168</v>
      </c>
      <c r="AZ73" s="40">
        <f t="shared" si="13"/>
        <v>4</v>
      </c>
      <c r="BA73" s="14" t="s">
        <v>162</v>
      </c>
      <c r="BB73" s="14">
        <v>56.373</v>
      </c>
      <c r="BC73" s="14">
        <v>34.19</v>
      </c>
      <c r="BD73" s="14">
        <v>317.626</v>
      </c>
      <c r="BE73" s="14">
        <v>7.188</v>
      </c>
      <c r="BF73" s="14">
        <v>6473.365</v>
      </c>
      <c r="BG73" s="14">
        <v>73.889</v>
      </c>
      <c r="BH73" s="14">
        <v>157.381</v>
      </c>
      <c r="BI73" s="28">
        <f t="shared" si="14"/>
        <v>4</v>
      </c>
      <c r="BJ73" s="14" t="s">
        <v>162</v>
      </c>
      <c r="BK73" s="14">
        <v>0</v>
      </c>
      <c r="BL73" s="14">
        <v>1e-6</v>
      </c>
      <c r="BM73" s="14">
        <v>0</v>
      </c>
      <c r="BN73" s="14">
        <v>0.999999</v>
      </c>
      <c r="BO73" s="14">
        <v>0</v>
      </c>
      <c r="BP73" s="14">
        <v>0</v>
      </c>
      <c r="BQ73" s="14">
        <v>0</v>
      </c>
      <c r="BR73" s="28">
        <f t="shared" si="15"/>
        <v>4</v>
      </c>
      <c r="BS73" s="28">
        <f t="shared" si="16"/>
        <v>1</v>
      </c>
      <c r="BT73" s="28">
        <f t="shared" si="17"/>
        <v>1</v>
      </c>
      <c r="BU73" s="28">
        <f t="shared" si="18"/>
        <v>1</v>
      </c>
      <c r="BV73" s="28">
        <f t="shared" si="19"/>
        <v>1</v>
      </c>
      <c r="BW73" s="14">
        <v>1</v>
      </c>
      <c r="BX73" s="15">
        <v>1</v>
      </c>
    </row>
    <row r="74" spans="1:76">
      <c r="A74" s="36" t="s">
        <v>82</v>
      </c>
      <c r="B74" s="37">
        <v>-0.00216068963123403</v>
      </c>
      <c r="C74" s="37">
        <v>0.408298646331076</v>
      </c>
      <c r="D74" s="37">
        <v>-0.747594490696222</v>
      </c>
      <c r="E74" s="37">
        <v>0.282710162831801</v>
      </c>
      <c r="F74" s="37">
        <v>-0.286897975475671</v>
      </c>
      <c r="G74" s="37">
        <v>-1.15527085769128</v>
      </c>
      <c r="H74" s="37">
        <v>-0.419796511608032</v>
      </c>
      <c r="I74" s="37">
        <v>-0.154126061650481</v>
      </c>
      <c r="J74" s="37">
        <v>-0.66284450458618</v>
      </c>
      <c r="K74" s="7">
        <v>3</v>
      </c>
      <c r="L74" s="7">
        <v>7</v>
      </c>
      <c r="M74" s="7">
        <v>5</v>
      </c>
      <c r="N74" s="7">
        <v>1</v>
      </c>
      <c r="O74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2.8618430061242</v>
      </c>
      <c r="P74" s="39"/>
      <c r="Q74" s="3" t="s">
        <v>161</v>
      </c>
      <c r="R74" s="3" t="s">
        <v>163</v>
      </c>
      <c r="S74" s="3" t="s">
        <v>164</v>
      </c>
      <c r="T74" s="3" t="s">
        <v>162</v>
      </c>
      <c r="U74" s="3" t="s">
        <v>165</v>
      </c>
      <c r="V74" s="3" t="s">
        <v>168</v>
      </c>
      <c r="W74" s="3" t="s">
        <v>166</v>
      </c>
      <c r="X74" s="3" t="s">
        <v>167</v>
      </c>
      <c r="Y74" s="40">
        <f t="shared" si="10"/>
        <v>2</v>
      </c>
      <c r="Z74" s="14" t="s">
        <v>161</v>
      </c>
      <c r="AA74" s="14">
        <v>30.086</v>
      </c>
      <c r="AB74" s="14">
        <v>28.045</v>
      </c>
      <c r="AC74" s="14">
        <v>288.963</v>
      </c>
      <c r="AD74" s="14">
        <v>53.428</v>
      </c>
      <c r="AE74" s="14">
        <v>7419.533</v>
      </c>
      <c r="AF74" s="14">
        <v>82.817</v>
      </c>
      <c r="AG74" s="14">
        <v>141.369</v>
      </c>
      <c r="AH74" s="28">
        <f t="shared" si="11"/>
        <v>2</v>
      </c>
      <c r="AI74" s="14" t="s">
        <v>161</v>
      </c>
      <c r="AJ74" s="14">
        <v>0.474028</v>
      </c>
      <c r="AK74" s="14">
        <v>0.52597</v>
      </c>
      <c r="AL74" s="14">
        <v>0</v>
      </c>
      <c r="AM74" s="14">
        <v>2e-6</v>
      </c>
      <c r="AN74" s="14">
        <v>0</v>
      </c>
      <c r="AO74" s="14">
        <v>0</v>
      </c>
      <c r="AP74" s="14">
        <v>0</v>
      </c>
      <c r="AQ74" s="28">
        <f t="shared" si="12"/>
        <v>2</v>
      </c>
      <c r="AR74" s="14" t="s">
        <v>161</v>
      </c>
      <c r="AS74" s="14" t="s">
        <v>163</v>
      </c>
      <c r="AT74" s="14" t="s">
        <v>164</v>
      </c>
      <c r="AU74" s="14" t="s">
        <v>162</v>
      </c>
      <c r="AV74" s="14" t="s">
        <v>165</v>
      </c>
      <c r="AW74" s="14" t="s">
        <v>168</v>
      </c>
      <c r="AX74" s="14" t="s">
        <v>166</v>
      </c>
      <c r="AY74" s="14" t="s">
        <v>167</v>
      </c>
      <c r="AZ74" s="40">
        <f t="shared" si="13"/>
        <v>2</v>
      </c>
      <c r="BA74" s="14" t="s">
        <v>161</v>
      </c>
      <c r="BB74" s="14">
        <v>22.789</v>
      </c>
      <c r="BC74" s="14">
        <v>20.085</v>
      </c>
      <c r="BD74" s="14">
        <v>173.96</v>
      </c>
      <c r="BE74" s="14">
        <v>40.476</v>
      </c>
      <c r="BF74" s="14">
        <v>6677.337</v>
      </c>
      <c r="BG74" s="14">
        <v>39.744</v>
      </c>
      <c r="BH74" s="14">
        <v>73.718</v>
      </c>
      <c r="BI74" s="28">
        <f t="shared" si="14"/>
        <v>2</v>
      </c>
      <c r="BJ74" s="14" t="s">
        <v>161</v>
      </c>
      <c r="BK74" s="14">
        <v>0.39274</v>
      </c>
      <c r="BL74" s="14">
        <v>0.607201</v>
      </c>
      <c r="BM74" s="14">
        <v>0</v>
      </c>
      <c r="BN74" s="14">
        <v>3.4e-5</v>
      </c>
      <c r="BO74" s="14">
        <v>0</v>
      </c>
      <c r="BP74" s="14">
        <v>2.5e-5</v>
      </c>
      <c r="BQ74" s="14">
        <v>0</v>
      </c>
      <c r="BR74" s="28">
        <f t="shared" si="15"/>
        <v>2</v>
      </c>
      <c r="BS74" s="28">
        <f t="shared" si="16"/>
        <v>0</v>
      </c>
      <c r="BT74" s="28">
        <f t="shared" si="17"/>
        <v>0</v>
      </c>
      <c r="BU74" s="28">
        <f t="shared" si="18"/>
        <v>0</v>
      </c>
      <c r="BV74" s="28">
        <f t="shared" si="19"/>
        <v>0</v>
      </c>
      <c r="BW74" s="14">
        <v>1</v>
      </c>
      <c r="BX74" s="15">
        <v>4</v>
      </c>
    </row>
    <row r="75" spans="1:76">
      <c r="A75" s="34" t="s">
        <v>83</v>
      </c>
      <c r="B75" s="35">
        <v>-0.0973572989813707</v>
      </c>
      <c r="C75" s="35">
        <v>-0.181371008980242</v>
      </c>
      <c r="D75" s="35">
        <v>-0.29208752412903</v>
      </c>
      <c r="E75" s="35">
        <v>-0.374020277535241</v>
      </c>
      <c r="F75" s="35">
        <v>0.815342237270907</v>
      </c>
      <c r="G75" s="35">
        <v>-0.0269465423621434</v>
      </c>
      <c r="H75" s="35">
        <v>-0.284877929841164</v>
      </c>
      <c r="I75" s="35">
        <v>-0.282343080745348</v>
      </c>
      <c r="J75" s="35">
        <v>-0.775014110540463</v>
      </c>
      <c r="K75" s="6">
        <v>3</v>
      </c>
      <c r="L75" s="6">
        <v>7</v>
      </c>
      <c r="M75" s="6">
        <v>5</v>
      </c>
      <c r="N75" s="6">
        <v>1</v>
      </c>
      <c r="O75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1.69460917803821</v>
      </c>
      <c r="P75" s="39">
        <v>1</v>
      </c>
      <c r="Q75" s="3" t="s">
        <v>164</v>
      </c>
      <c r="R75" s="3" t="s">
        <v>164</v>
      </c>
      <c r="S75" s="3" t="s">
        <v>163</v>
      </c>
      <c r="T75" s="3" t="s">
        <v>168</v>
      </c>
      <c r="U75" s="3" t="s">
        <v>162</v>
      </c>
      <c r="V75" s="3" t="s">
        <v>165</v>
      </c>
      <c r="W75" s="3" t="s">
        <v>166</v>
      </c>
      <c r="X75" s="3" t="s">
        <v>167</v>
      </c>
      <c r="Y75" s="40">
        <f t="shared" si="10"/>
        <v>1</v>
      </c>
      <c r="Z75" s="14" t="s">
        <v>161</v>
      </c>
      <c r="AA75" s="14">
        <v>66.89</v>
      </c>
      <c r="AB75" s="14">
        <v>90.143</v>
      </c>
      <c r="AC75" s="14">
        <v>225.11</v>
      </c>
      <c r="AD75" s="14">
        <v>111.931</v>
      </c>
      <c r="AE75" s="14">
        <v>6624.352</v>
      </c>
      <c r="AF75" s="14">
        <v>46.215</v>
      </c>
      <c r="AG75" s="14">
        <v>155.413</v>
      </c>
      <c r="AH75" s="28">
        <f t="shared" si="11"/>
        <v>6</v>
      </c>
      <c r="AI75" s="14" t="s">
        <v>161</v>
      </c>
      <c r="AJ75" s="14">
        <v>0.000108</v>
      </c>
      <c r="AK75" s="14">
        <v>0</v>
      </c>
      <c r="AL75" s="14">
        <v>0</v>
      </c>
      <c r="AM75" s="14">
        <v>0</v>
      </c>
      <c r="AN75" s="14">
        <v>0</v>
      </c>
      <c r="AO75" s="14">
        <v>0.999892</v>
      </c>
      <c r="AP75" s="14">
        <v>0</v>
      </c>
      <c r="AQ75" s="28">
        <f t="shared" si="12"/>
        <v>6</v>
      </c>
      <c r="AR75" s="14" t="s">
        <v>164</v>
      </c>
      <c r="AS75" s="14" t="s">
        <v>164</v>
      </c>
      <c r="AT75" s="14" t="s">
        <v>163</v>
      </c>
      <c r="AU75" s="14" t="s">
        <v>168</v>
      </c>
      <c r="AV75" s="14" t="s">
        <v>162</v>
      </c>
      <c r="AW75" s="14" t="s">
        <v>165</v>
      </c>
      <c r="AX75" s="14" t="s">
        <v>166</v>
      </c>
      <c r="AY75" s="14" t="s">
        <v>167</v>
      </c>
      <c r="AZ75" s="40">
        <f t="shared" si="13"/>
        <v>1</v>
      </c>
      <c r="BA75" s="14" t="s">
        <v>164</v>
      </c>
      <c r="BB75" s="14">
        <v>8.086</v>
      </c>
      <c r="BC75" s="14">
        <v>27.638</v>
      </c>
      <c r="BD75" s="14">
        <v>152.761</v>
      </c>
      <c r="BE75" s="14">
        <v>54.69</v>
      </c>
      <c r="BF75" s="14">
        <v>6670.278</v>
      </c>
      <c r="BG75" s="14">
        <v>58.508</v>
      </c>
      <c r="BH75" s="14">
        <v>48.353</v>
      </c>
      <c r="BI75" s="28">
        <f t="shared" si="14"/>
        <v>1</v>
      </c>
      <c r="BJ75" s="14" t="s">
        <v>164</v>
      </c>
      <c r="BK75" s="14">
        <v>0.999977</v>
      </c>
      <c r="BL75" s="14">
        <v>2.3e-5</v>
      </c>
      <c r="BM75" s="14">
        <v>0</v>
      </c>
      <c r="BN75" s="14">
        <v>0</v>
      </c>
      <c r="BO75" s="14">
        <v>0</v>
      </c>
      <c r="BP75" s="14">
        <v>0</v>
      </c>
      <c r="BQ75" s="14">
        <v>0</v>
      </c>
      <c r="BR75" s="28">
        <f t="shared" si="15"/>
        <v>1</v>
      </c>
      <c r="BS75" s="28">
        <f t="shared" si="16"/>
        <v>1</v>
      </c>
      <c r="BT75" s="28">
        <f t="shared" si="17"/>
        <v>1</v>
      </c>
      <c r="BU75" s="28">
        <f t="shared" si="18"/>
        <v>1</v>
      </c>
      <c r="BV75" s="28">
        <f t="shared" si="19"/>
        <v>1</v>
      </c>
      <c r="BW75" s="14">
        <v>6</v>
      </c>
      <c r="BX75" s="15">
        <v>4</v>
      </c>
    </row>
    <row r="76" spans="1:76">
      <c r="A76" s="36" t="s">
        <v>84</v>
      </c>
      <c r="B76" s="37">
        <v>0.533451131490487</v>
      </c>
      <c r="C76" s="37">
        <v>0.126387612991124</v>
      </c>
      <c r="D76" s="37">
        <v>-0.321191924629773</v>
      </c>
      <c r="E76" s="37">
        <v>-0.374020277535241</v>
      </c>
      <c r="F76" s="37">
        <v>1.38856609122601</v>
      </c>
      <c r="G76" s="37">
        <v>0.505521112062841</v>
      </c>
      <c r="H76" s="37">
        <v>0.603364675480659</v>
      </c>
      <c r="I76" s="37">
        <v>-0.242254290325641</v>
      </c>
      <c r="J76" s="37">
        <v>2.21919194660613</v>
      </c>
      <c r="K76" s="7">
        <v>3</v>
      </c>
      <c r="L76" s="7">
        <v>7</v>
      </c>
      <c r="M76" s="7">
        <v>4</v>
      </c>
      <c r="N76" s="7">
        <v>4</v>
      </c>
      <c r="O76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8.07481571198553</v>
      </c>
      <c r="P76" s="39"/>
      <c r="Q76" s="3" t="s">
        <v>161</v>
      </c>
      <c r="R76" s="3" t="s">
        <v>162</v>
      </c>
      <c r="S76" s="3" t="s">
        <v>164</v>
      </c>
      <c r="T76" s="3" t="s">
        <v>163</v>
      </c>
      <c r="U76" s="3" t="s">
        <v>165</v>
      </c>
      <c r="V76" s="3" t="s">
        <v>168</v>
      </c>
      <c r="W76" s="3" t="s">
        <v>166</v>
      </c>
      <c r="X76" s="3" t="s">
        <v>167</v>
      </c>
      <c r="Y76" s="40">
        <f t="shared" si="10"/>
        <v>4</v>
      </c>
      <c r="Z76" s="14" t="s">
        <v>161</v>
      </c>
      <c r="AA76" s="14">
        <v>76.042</v>
      </c>
      <c r="AB76" s="14">
        <v>86.181</v>
      </c>
      <c r="AC76" s="14">
        <v>294.508</v>
      </c>
      <c r="AD76" s="14">
        <v>50.351</v>
      </c>
      <c r="AE76" s="14">
        <v>5886.363</v>
      </c>
      <c r="AF76" s="14">
        <v>90.527</v>
      </c>
      <c r="AG76" s="14">
        <v>112.098</v>
      </c>
      <c r="AH76" s="28">
        <f t="shared" si="11"/>
        <v>4</v>
      </c>
      <c r="AI76" s="14" t="s">
        <v>161</v>
      </c>
      <c r="AJ76" s="14">
        <v>4e-6</v>
      </c>
      <c r="AK76" s="14">
        <v>0</v>
      </c>
      <c r="AL76" s="14">
        <v>0</v>
      </c>
      <c r="AM76" s="14">
        <v>0.999996</v>
      </c>
      <c r="AN76" s="14">
        <v>0</v>
      </c>
      <c r="AO76" s="14">
        <v>0</v>
      </c>
      <c r="AP76" s="14">
        <v>0</v>
      </c>
      <c r="AQ76" s="28">
        <f t="shared" si="12"/>
        <v>4</v>
      </c>
      <c r="AR76" s="14" t="s">
        <v>161</v>
      </c>
      <c r="AS76" s="14" t="s">
        <v>162</v>
      </c>
      <c r="AT76" s="14" t="s">
        <v>164</v>
      </c>
      <c r="AU76" s="14" t="s">
        <v>163</v>
      </c>
      <c r="AV76" s="14" t="s">
        <v>165</v>
      </c>
      <c r="AW76" s="14" t="s">
        <v>168</v>
      </c>
      <c r="AX76" s="14" t="s">
        <v>166</v>
      </c>
      <c r="AY76" s="14" t="s">
        <v>167</v>
      </c>
      <c r="AZ76" s="40">
        <f t="shared" si="13"/>
        <v>4</v>
      </c>
      <c r="BA76" s="14" t="s">
        <v>161</v>
      </c>
      <c r="BB76" s="14">
        <v>60.908</v>
      </c>
      <c r="BC76" s="14">
        <v>74.587</v>
      </c>
      <c r="BD76" s="14">
        <v>203.495</v>
      </c>
      <c r="BE76" s="14">
        <v>41.434</v>
      </c>
      <c r="BF76" s="14">
        <v>5808.503</v>
      </c>
      <c r="BG76" s="14">
        <v>89.077</v>
      </c>
      <c r="BH76" s="14">
        <v>106.586</v>
      </c>
      <c r="BI76" s="28">
        <f t="shared" si="14"/>
        <v>4</v>
      </c>
      <c r="BJ76" s="14" t="s">
        <v>161</v>
      </c>
      <c r="BK76" s="14">
        <v>9.8e-5</v>
      </c>
      <c r="BL76" s="14">
        <v>0</v>
      </c>
      <c r="BM76" s="14">
        <v>0</v>
      </c>
      <c r="BN76" s="14">
        <v>0.999902</v>
      </c>
      <c r="BO76" s="14">
        <v>0</v>
      </c>
      <c r="BP76" s="14">
        <v>0</v>
      </c>
      <c r="BQ76" s="14">
        <v>0</v>
      </c>
      <c r="BR76" s="28">
        <f t="shared" si="15"/>
        <v>4</v>
      </c>
      <c r="BS76" s="28">
        <f t="shared" si="16"/>
        <v>0</v>
      </c>
      <c r="BT76" s="28">
        <f t="shared" si="17"/>
        <v>0</v>
      </c>
      <c r="BU76" s="28">
        <f t="shared" si="18"/>
        <v>1</v>
      </c>
      <c r="BV76" s="28">
        <f t="shared" si="19"/>
        <v>1</v>
      </c>
      <c r="BW76" s="14">
        <v>6</v>
      </c>
      <c r="BX76" s="15">
        <v>5</v>
      </c>
    </row>
    <row r="77" spans="1:76">
      <c r="A77" s="34" t="s">
        <v>85</v>
      </c>
      <c r="B77" s="35">
        <v>-0.886631873691357</v>
      </c>
      <c r="C77" s="35">
        <v>-0.152766344228144</v>
      </c>
      <c r="D77" s="35">
        <v>0.284456790552366</v>
      </c>
      <c r="E77" s="35">
        <v>-0.463574428494383</v>
      </c>
      <c r="F77" s="35">
        <v>-0.260373478377491</v>
      </c>
      <c r="G77" s="35">
        <v>0.00263499399480038</v>
      </c>
      <c r="H77" s="35">
        <v>-0.60014569300293</v>
      </c>
      <c r="I77" s="35">
        <v>-0.24306763750129</v>
      </c>
      <c r="J77" s="35">
        <v>-0.183532582370392</v>
      </c>
      <c r="K77" s="6">
        <v>3</v>
      </c>
      <c r="L77" s="6">
        <v>7</v>
      </c>
      <c r="M77" s="6">
        <v>4</v>
      </c>
      <c r="N77" s="6">
        <v>1</v>
      </c>
      <c r="O77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1.62601278127724</v>
      </c>
      <c r="P77" s="39"/>
      <c r="Q77" s="3" t="s">
        <v>161</v>
      </c>
      <c r="R77" s="3" t="s">
        <v>164</v>
      </c>
      <c r="S77" s="3" t="s">
        <v>163</v>
      </c>
      <c r="T77" s="3" t="s">
        <v>162</v>
      </c>
      <c r="U77" s="3" t="s">
        <v>165</v>
      </c>
      <c r="V77" s="3" t="s">
        <v>168</v>
      </c>
      <c r="W77" s="3" t="s">
        <v>166</v>
      </c>
      <c r="X77" s="3" t="s">
        <v>167</v>
      </c>
      <c r="Y77" s="40">
        <f t="shared" si="10"/>
        <v>1</v>
      </c>
      <c r="Z77" s="14" t="s">
        <v>161</v>
      </c>
      <c r="AA77" s="14">
        <v>17.42</v>
      </c>
      <c r="AB77" s="14">
        <v>20.773</v>
      </c>
      <c r="AC77" s="14">
        <v>229.983</v>
      </c>
      <c r="AD77" s="14">
        <v>51.513</v>
      </c>
      <c r="AE77" s="14">
        <v>6960.279</v>
      </c>
      <c r="AF77" s="14">
        <v>30.523</v>
      </c>
      <c r="AG77" s="14">
        <v>75.101</v>
      </c>
      <c r="AH77" s="28">
        <f t="shared" si="11"/>
        <v>1</v>
      </c>
      <c r="AI77" s="14" t="s">
        <v>161</v>
      </c>
      <c r="AJ77" s="14">
        <v>0.930028</v>
      </c>
      <c r="AK77" s="14">
        <v>0.069573</v>
      </c>
      <c r="AL77" s="14">
        <v>0</v>
      </c>
      <c r="AM77" s="14">
        <v>0</v>
      </c>
      <c r="AN77" s="14">
        <v>0</v>
      </c>
      <c r="AO77" s="14">
        <v>0.000398</v>
      </c>
      <c r="AP77" s="14">
        <v>0</v>
      </c>
      <c r="AQ77" s="28">
        <f t="shared" si="12"/>
        <v>1</v>
      </c>
      <c r="AR77" s="14" t="s">
        <v>161</v>
      </c>
      <c r="AS77" s="14" t="s">
        <v>164</v>
      </c>
      <c r="AT77" s="14" t="s">
        <v>163</v>
      </c>
      <c r="AU77" s="14" t="s">
        <v>162</v>
      </c>
      <c r="AV77" s="14" t="s">
        <v>165</v>
      </c>
      <c r="AW77" s="14" t="s">
        <v>168</v>
      </c>
      <c r="AX77" s="14" t="s">
        <v>166</v>
      </c>
      <c r="AY77" s="14" t="s">
        <v>167</v>
      </c>
      <c r="AZ77" s="40">
        <f t="shared" si="13"/>
        <v>1</v>
      </c>
      <c r="BA77" s="14" t="s">
        <v>161</v>
      </c>
      <c r="BB77" s="14">
        <v>4.311</v>
      </c>
      <c r="BC77" s="14">
        <v>6.424</v>
      </c>
      <c r="BD77" s="14">
        <v>196.269</v>
      </c>
      <c r="BE77" s="14">
        <v>18.347</v>
      </c>
      <c r="BF77" s="14">
        <v>6618.385</v>
      </c>
      <c r="BG77" s="14">
        <v>50.253</v>
      </c>
      <c r="BH77" s="14">
        <v>92.734</v>
      </c>
      <c r="BI77" s="28">
        <f t="shared" si="14"/>
        <v>1</v>
      </c>
      <c r="BJ77" s="14" t="s">
        <v>161</v>
      </c>
      <c r="BK77" s="14">
        <v>0.877511</v>
      </c>
      <c r="BL77" s="14">
        <v>0.122017</v>
      </c>
      <c r="BM77" s="14">
        <v>0</v>
      </c>
      <c r="BN77" s="14">
        <v>0.000472</v>
      </c>
      <c r="BO77" s="14">
        <v>0</v>
      </c>
      <c r="BP77" s="14">
        <v>0</v>
      </c>
      <c r="BQ77" s="14">
        <v>0</v>
      </c>
      <c r="BR77" s="28">
        <f t="shared" si="15"/>
        <v>1</v>
      </c>
      <c r="BS77" s="28">
        <f t="shared" si="16"/>
        <v>0</v>
      </c>
      <c r="BT77" s="28">
        <f t="shared" si="17"/>
        <v>0</v>
      </c>
      <c r="BU77" s="28">
        <f t="shared" si="18"/>
        <v>1</v>
      </c>
      <c r="BV77" s="28">
        <f t="shared" si="19"/>
        <v>1</v>
      </c>
      <c r="BW77" s="14">
        <v>2</v>
      </c>
      <c r="BX77" s="15">
        <v>3</v>
      </c>
    </row>
    <row r="78" spans="1:76">
      <c r="A78" s="36" t="s">
        <v>86</v>
      </c>
      <c r="B78" s="37">
        <v>-0.438073593244318</v>
      </c>
      <c r="C78" s="37">
        <v>-0.543237249820033</v>
      </c>
      <c r="D78" s="37">
        <v>-0.166430429903597</v>
      </c>
      <c r="E78" s="37">
        <v>-0.16506059196391</v>
      </c>
      <c r="F78" s="37">
        <v>-0.233848981279311</v>
      </c>
      <c r="G78" s="37">
        <v>-0.136820820259362</v>
      </c>
      <c r="H78" s="37">
        <v>-0.725337320189489</v>
      </c>
      <c r="I78" s="37">
        <v>-0.246733670463435</v>
      </c>
      <c r="J78" s="37">
        <v>-0.575604643755642</v>
      </c>
      <c r="K78" s="7">
        <v>3</v>
      </c>
      <c r="L78" s="7">
        <v>7</v>
      </c>
      <c r="M78" s="7">
        <v>5</v>
      </c>
      <c r="N78" s="7">
        <v>1</v>
      </c>
      <c r="O78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1.53367699072229</v>
      </c>
      <c r="P78" s="39">
        <v>1</v>
      </c>
      <c r="Q78" s="3" t="s">
        <v>164</v>
      </c>
      <c r="R78" s="3" t="s">
        <v>164</v>
      </c>
      <c r="S78" s="3" t="s">
        <v>163</v>
      </c>
      <c r="T78" s="3" t="s">
        <v>162</v>
      </c>
      <c r="U78" s="3" t="s">
        <v>165</v>
      </c>
      <c r="V78" s="3" t="s">
        <v>168</v>
      </c>
      <c r="W78" s="3" t="s">
        <v>166</v>
      </c>
      <c r="X78" s="3" t="s">
        <v>167</v>
      </c>
      <c r="Y78" s="40">
        <f t="shared" si="10"/>
        <v>1</v>
      </c>
      <c r="Z78" s="14" t="s">
        <v>164</v>
      </c>
      <c r="AA78" s="14">
        <v>4.652</v>
      </c>
      <c r="AB78" s="14">
        <v>19.688</v>
      </c>
      <c r="AC78" s="14">
        <v>178.426</v>
      </c>
      <c r="AD78" s="14">
        <v>28.526</v>
      </c>
      <c r="AE78" s="14">
        <v>6458.276</v>
      </c>
      <c r="AF78" s="14">
        <v>60.177</v>
      </c>
      <c r="AG78" s="14">
        <v>80.756</v>
      </c>
      <c r="AH78" s="28">
        <f t="shared" si="11"/>
        <v>1</v>
      </c>
      <c r="AI78" s="14" t="s">
        <v>164</v>
      </c>
      <c r="AJ78" s="14">
        <v>0.999779</v>
      </c>
      <c r="AK78" s="14">
        <v>0.000217</v>
      </c>
      <c r="AL78" s="14">
        <v>0</v>
      </c>
      <c r="AM78" s="14">
        <v>4e-6</v>
      </c>
      <c r="AN78" s="14">
        <v>0</v>
      </c>
      <c r="AO78" s="14">
        <v>0</v>
      </c>
      <c r="AP78" s="14">
        <v>0</v>
      </c>
      <c r="AQ78" s="28">
        <f t="shared" si="12"/>
        <v>1</v>
      </c>
      <c r="AR78" s="14" t="s">
        <v>164</v>
      </c>
      <c r="AS78" s="14" t="s">
        <v>164</v>
      </c>
      <c r="AT78" s="14" t="s">
        <v>163</v>
      </c>
      <c r="AU78" s="14" t="s">
        <v>162</v>
      </c>
      <c r="AV78" s="14" t="s">
        <v>165</v>
      </c>
      <c r="AW78" s="14" t="s">
        <v>168</v>
      </c>
      <c r="AX78" s="14" t="s">
        <v>166</v>
      </c>
      <c r="AY78" s="14" t="s">
        <v>167</v>
      </c>
      <c r="AZ78" s="40">
        <f t="shared" si="13"/>
        <v>1</v>
      </c>
      <c r="BA78" s="14" t="s">
        <v>164</v>
      </c>
      <c r="BB78" s="14">
        <v>3.771</v>
      </c>
      <c r="BC78" s="14">
        <v>10.877</v>
      </c>
      <c r="BD78" s="14">
        <v>163.631</v>
      </c>
      <c r="BE78" s="14">
        <v>30.189</v>
      </c>
      <c r="BF78" s="14">
        <v>6635.964</v>
      </c>
      <c r="BG78" s="14">
        <v>51.396</v>
      </c>
      <c r="BH78" s="14">
        <v>73.976</v>
      </c>
      <c r="BI78" s="28">
        <f t="shared" si="14"/>
        <v>1</v>
      </c>
      <c r="BJ78" s="14" t="s">
        <v>164</v>
      </c>
      <c r="BK78" s="14">
        <v>0.988673</v>
      </c>
      <c r="BL78" s="14">
        <v>0.011326</v>
      </c>
      <c r="BM78" s="14">
        <v>0</v>
      </c>
      <c r="BN78" s="14">
        <v>1e-6</v>
      </c>
      <c r="BO78" s="14">
        <v>0</v>
      </c>
      <c r="BP78" s="14">
        <v>0</v>
      </c>
      <c r="BQ78" s="14">
        <v>0</v>
      </c>
      <c r="BR78" s="28">
        <f t="shared" si="15"/>
        <v>1</v>
      </c>
      <c r="BS78" s="28">
        <f t="shared" si="16"/>
        <v>1</v>
      </c>
      <c r="BT78" s="28">
        <f t="shared" si="17"/>
        <v>1</v>
      </c>
      <c r="BU78" s="28">
        <f t="shared" si="18"/>
        <v>1</v>
      </c>
      <c r="BV78" s="28">
        <f t="shared" si="19"/>
        <v>1</v>
      </c>
      <c r="BW78" s="14">
        <v>2</v>
      </c>
      <c r="BX78" s="15">
        <v>3</v>
      </c>
    </row>
    <row r="79" spans="1:76">
      <c r="A79" s="34" t="s">
        <v>87</v>
      </c>
      <c r="B79" s="35">
        <v>1.20017150782707</v>
      </c>
      <c r="C79" s="35">
        <v>0.758791948173045</v>
      </c>
      <c r="D79" s="35">
        <v>-0.595142869025661</v>
      </c>
      <c r="E79" s="35">
        <v>-0.642682730412668</v>
      </c>
      <c r="F79" s="35">
        <v>-0.624348521891401</v>
      </c>
      <c r="G79" s="35">
        <v>-0.318535972166302</v>
      </c>
      <c r="H79" s="35">
        <v>1.31205914272596</v>
      </c>
      <c r="I79" s="35">
        <v>-0.214109520011351</v>
      </c>
      <c r="J79" s="35">
        <v>-0.120627454099213</v>
      </c>
      <c r="K79" s="6">
        <v>3</v>
      </c>
      <c r="L79" s="6">
        <v>7</v>
      </c>
      <c r="M79" s="6">
        <v>6</v>
      </c>
      <c r="N79" s="6">
        <v>6</v>
      </c>
      <c r="O79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5.05658230093954</v>
      </c>
      <c r="P79" s="39">
        <v>6</v>
      </c>
      <c r="Q79" s="3" t="s">
        <v>165</v>
      </c>
      <c r="R79" s="3" t="s">
        <v>165</v>
      </c>
      <c r="S79" s="3" t="s">
        <v>164</v>
      </c>
      <c r="T79" s="3" t="s">
        <v>163</v>
      </c>
      <c r="U79" s="3" t="s">
        <v>162</v>
      </c>
      <c r="V79" s="3" t="s">
        <v>166</v>
      </c>
      <c r="W79" s="3" t="s">
        <v>167</v>
      </c>
      <c r="X79" s="3" t="s">
        <v>168</v>
      </c>
      <c r="Y79" s="40">
        <f t="shared" si="10"/>
        <v>6</v>
      </c>
      <c r="Z79" s="14" t="s">
        <v>161</v>
      </c>
      <c r="AA79" s="14">
        <v>302.214</v>
      </c>
      <c r="AB79" s="14">
        <v>358.324</v>
      </c>
      <c r="AC79" s="14">
        <v>335.494</v>
      </c>
      <c r="AD79" s="14">
        <v>373.454</v>
      </c>
      <c r="AE79" s="14">
        <v>5944.617</v>
      </c>
      <c r="AF79" s="14">
        <v>239.345</v>
      </c>
      <c r="AG79" s="14">
        <v>363.773</v>
      </c>
      <c r="AH79" s="28">
        <f t="shared" si="11"/>
        <v>6</v>
      </c>
      <c r="AI79" s="14" t="s">
        <v>161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1</v>
      </c>
      <c r="AP79" s="14">
        <v>0</v>
      </c>
      <c r="AQ79" s="28">
        <f t="shared" si="12"/>
        <v>6</v>
      </c>
      <c r="AR79" s="14" t="s">
        <v>165</v>
      </c>
      <c r="AS79" s="14" t="s">
        <v>165</v>
      </c>
      <c r="AT79" s="14" t="s">
        <v>164</v>
      </c>
      <c r="AU79" s="14" t="s">
        <v>163</v>
      </c>
      <c r="AV79" s="14" t="s">
        <v>162</v>
      </c>
      <c r="AW79" s="14" t="s">
        <v>166</v>
      </c>
      <c r="AX79" s="14" t="s">
        <v>167</v>
      </c>
      <c r="AY79" s="14" t="s">
        <v>168</v>
      </c>
      <c r="AZ79" s="40">
        <f t="shared" si="13"/>
        <v>6</v>
      </c>
      <c r="BA79" s="14" t="s">
        <v>165</v>
      </c>
      <c r="BB79" s="14">
        <v>39.708</v>
      </c>
      <c r="BC79" s="14">
        <v>42.166</v>
      </c>
      <c r="BD79" s="14">
        <v>224.81</v>
      </c>
      <c r="BE79" s="14">
        <v>47.943</v>
      </c>
      <c r="BF79" s="14">
        <v>6628.412</v>
      </c>
      <c r="BG79" s="14">
        <v>3.185</v>
      </c>
      <c r="BH79" s="14">
        <v>157.863</v>
      </c>
      <c r="BI79" s="28">
        <f t="shared" si="14"/>
        <v>6</v>
      </c>
      <c r="BJ79" s="14" t="s">
        <v>165</v>
      </c>
      <c r="BK79" s="14">
        <v>0</v>
      </c>
      <c r="BL79" s="14">
        <v>0</v>
      </c>
      <c r="BM79" s="14">
        <v>0</v>
      </c>
      <c r="BN79" s="14">
        <v>0</v>
      </c>
      <c r="BO79" s="14">
        <v>0</v>
      </c>
      <c r="BP79" s="14">
        <v>1</v>
      </c>
      <c r="BQ79" s="14">
        <v>0</v>
      </c>
      <c r="BR79" s="28">
        <f t="shared" si="15"/>
        <v>6</v>
      </c>
      <c r="BS79" s="28">
        <f t="shared" si="16"/>
        <v>1</v>
      </c>
      <c r="BT79" s="28">
        <f t="shared" si="17"/>
        <v>1</v>
      </c>
      <c r="BU79" s="28">
        <f t="shared" si="18"/>
        <v>1</v>
      </c>
      <c r="BV79" s="28">
        <f t="shared" si="19"/>
        <v>1</v>
      </c>
      <c r="BW79" s="14">
        <v>5</v>
      </c>
      <c r="BX79" s="15">
        <v>5</v>
      </c>
    </row>
    <row r="80" spans="1:76">
      <c r="A80" s="36" t="s">
        <v>88</v>
      </c>
      <c r="B80" s="37">
        <v>0.237009041636828</v>
      </c>
      <c r="C80" s="37">
        <v>2.58983512682239</v>
      </c>
      <c r="D80" s="37">
        <v>0.239183278662321</v>
      </c>
      <c r="E80" s="37">
        <v>-1.00089933424924</v>
      </c>
      <c r="F80" s="37">
        <v>-0.602244774309584</v>
      </c>
      <c r="G80" s="37">
        <v>0.573136052307284</v>
      </c>
      <c r="H80" s="37">
        <v>1.00857815982034</v>
      </c>
      <c r="I80" s="37">
        <v>-0.253201361320909</v>
      </c>
      <c r="J80" s="37">
        <v>-0.715967339640341</v>
      </c>
      <c r="K80" s="7">
        <v>4</v>
      </c>
      <c r="L80" s="7">
        <v>6</v>
      </c>
      <c r="M80" s="7">
        <v>6</v>
      </c>
      <c r="N80" s="7">
        <v>6</v>
      </c>
      <c r="O80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10.1075611559436</v>
      </c>
      <c r="P80" s="39"/>
      <c r="Q80" s="3" t="s">
        <v>161</v>
      </c>
      <c r="R80" s="3" t="s">
        <v>165</v>
      </c>
      <c r="S80" s="3" t="s">
        <v>164</v>
      </c>
      <c r="T80" s="3" t="s">
        <v>163</v>
      </c>
      <c r="U80" s="3" t="s">
        <v>162</v>
      </c>
      <c r="V80" s="3" t="s">
        <v>166</v>
      </c>
      <c r="W80" s="3" t="s">
        <v>167</v>
      </c>
      <c r="X80" s="3" t="s">
        <v>168</v>
      </c>
      <c r="Y80" s="40">
        <f t="shared" si="10"/>
        <v>6</v>
      </c>
      <c r="Z80" s="14" t="s">
        <v>165</v>
      </c>
      <c r="AA80" s="14">
        <v>46.711</v>
      </c>
      <c r="AB80" s="14">
        <v>38.399</v>
      </c>
      <c r="AC80" s="14">
        <v>327.471</v>
      </c>
      <c r="AD80" s="14">
        <v>55.527</v>
      </c>
      <c r="AE80" s="14">
        <v>6904.652</v>
      </c>
      <c r="AF80" s="14">
        <v>8.937</v>
      </c>
      <c r="AG80" s="14">
        <v>132.979</v>
      </c>
      <c r="AH80" s="28">
        <f t="shared" si="11"/>
        <v>6</v>
      </c>
      <c r="AI80" s="14" t="s">
        <v>165</v>
      </c>
      <c r="AJ80" s="14">
        <v>0</v>
      </c>
      <c r="AK80" s="14">
        <v>1e-6</v>
      </c>
      <c r="AL80" s="14">
        <v>0</v>
      </c>
      <c r="AM80" s="14">
        <v>0</v>
      </c>
      <c r="AN80" s="14">
        <v>0</v>
      </c>
      <c r="AO80" s="14">
        <v>0.999999</v>
      </c>
      <c r="AP80" s="14">
        <v>0</v>
      </c>
      <c r="AQ80" s="28">
        <f t="shared" si="12"/>
        <v>6</v>
      </c>
      <c r="AR80" s="14" t="s">
        <v>161</v>
      </c>
      <c r="AS80" s="14" t="s">
        <v>165</v>
      </c>
      <c r="AT80" s="14" t="s">
        <v>164</v>
      </c>
      <c r="AU80" s="14" t="s">
        <v>163</v>
      </c>
      <c r="AV80" s="14" t="s">
        <v>162</v>
      </c>
      <c r="AW80" s="14" t="s">
        <v>168</v>
      </c>
      <c r="AX80" s="14" t="s">
        <v>166</v>
      </c>
      <c r="AY80" s="14" t="s">
        <v>167</v>
      </c>
      <c r="AZ80" s="40">
        <f t="shared" si="13"/>
        <v>6</v>
      </c>
      <c r="BA80" s="14" t="s">
        <v>161</v>
      </c>
      <c r="BB80" s="14">
        <v>24.021</v>
      </c>
      <c r="BC80" s="14">
        <v>37.408</v>
      </c>
      <c r="BD80" s="14">
        <v>194.717</v>
      </c>
      <c r="BE80" s="14">
        <v>55.885</v>
      </c>
      <c r="BF80" s="14">
        <v>6589.623</v>
      </c>
      <c r="BG80" s="14">
        <v>19.714</v>
      </c>
      <c r="BH80" s="14">
        <v>146.88</v>
      </c>
      <c r="BI80" s="28">
        <f t="shared" si="14"/>
        <v>6</v>
      </c>
      <c r="BJ80" s="14" t="s">
        <v>161</v>
      </c>
      <c r="BK80" s="14">
        <v>0.278911</v>
      </c>
      <c r="BL80" s="14">
        <v>0.000138</v>
      </c>
      <c r="BM80" s="14">
        <v>0</v>
      </c>
      <c r="BN80" s="14">
        <v>0</v>
      </c>
      <c r="BO80" s="14">
        <v>0</v>
      </c>
      <c r="BP80" s="14">
        <v>0.720951</v>
      </c>
      <c r="BQ80" s="14">
        <v>0</v>
      </c>
      <c r="BR80" s="28">
        <f t="shared" si="15"/>
        <v>6</v>
      </c>
      <c r="BS80" s="28">
        <f t="shared" si="16"/>
        <v>0</v>
      </c>
      <c r="BT80" s="28">
        <f t="shared" si="17"/>
        <v>0</v>
      </c>
      <c r="BU80" s="28">
        <f t="shared" si="18"/>
        <v>1</v>
      </c>
      <c r="BV80" s="28">
        <f t="shared" si="19"/>
        <v>1</v>
      </c>
      <c r="BW80" s="14">
        <v>4</v>
      </c>
      <c r="BX80" s="15">
        <v>6</v>
      </c>
    </row>
    <row r="81" spans="1:76">
      <c r="A81" s="34" t="s">
        <v>89</v>
      </c>
      <c r="B81" s="35">
        <v>0.216322617460129</v>
      </c>
      <c r="C81" s="35">
        <v>-0.170687339012591</v>
      </c>
      <c r="D81" s="35">
        <v>0.276141247552154</v>
      </c>
      <c r="E81" s="35">
        <v>-0.672534114065715</v>
      </c>
      <c r="F81" s="35">
        <v>-0.773180422275631</v>
      </c>
      <c r="G81" s="35">
        <v>0.433680238053122</v>
      </c>
      <c r="H81" s="35">
        <v>-0.441424681204248</v>
      </c>
      <c r="I81" s="35">
        <v>-0.346739574062743</v>
      </c>
      <c r="J81" s="35">
        <v>-0.393903164696008</v>
      </c>
      <c r="K81" s="6">
        <v>3</v>
      </c>
      <c r="L81" s="6">
        <v>7</v>
      </c>
      <c r="M81" s="6">
        <v>5</v>
      </c>
      <c r="N81" s="6">
        <v>1</v>
      </c>
      <c r="O81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1.86061606452898</v>
      </c>
      <c r="P81" s="39">
        <v>1</v>
      </c>
      <c r="Q81" s="3" t="s">
        <v>164</v>
      </c>
      <c r="R81" s="3" t="s">
        <v>164</v>
      </c>
      <c r="S81" s="3" t="s">
        <v>163</v>
      </c>
      <c r="T81" s="3" t="s">
        <v>162</v>
      </c>
      <c r="U81" s="3" t="s">
        <v>165</v>
      </c>
      <c r="V81" s="3" t="s">
        <v>168</v>
      </c>
      <c r="W81" s="3" t="s">
        <v>166</v>
      </c>
      <c r="X81" s="3" t="s">
        <v>167</v>
      </c>
      <c r="Y81" s="40">
        <f t="shared" si="10"/>
        <v>1</v>
      </c>
      <c r="Z81" s="14" t="s">
        <v>164</v>
      </c>
      <c r="AA81" s="14">
        <v>7.554</v>
      </c>
      <c r="AB81" s="14">
        <v>21.654</v>
      </c>
      <c r="AC81" s="14">
        <v>239.745</v>
      </c>
      <c r="AD81" s="14">
        <v>37.798</v>
      </c>
      <c r="AE81" s="14">
        <v>6802.286</v>
      </c>
      <c r="AF81" s="14">
        <v>41.968</v>
      </c>
      <c r="AG81" s="14">
        <v>75.856</v>
      </c>
      <c r="AH81" s="28">
        <f t="shared" si="11"/>
        <v>1</v>
      </c>
      <c r="AI81" s="14" t="s">
        <v>164</v>
      </c>
      <c r="AJ81" s="14">
        <v>0.999653</v>
      </c>
      <c r="AK81" s="14">
        <v>0.000347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28">
        <f t="shared" si="12"/>
        <v>1</v>
      </c>
      <c r="AR81" s="14" t="s">
        <v>164</v>
      </c>
      <c r="AS81" s="14" t="s">
        <v>164</v>
      </c>
      <c r="AT81" s="14" t="s">
        <v>163</v>
      </c>
      <c r="AU81" s="14" t="s">
        <v>162</v>
      </c>
      <c r="AV81" s="14" t="s">
        <v>165</v>
      </c>
      <c r="AW81" s="14" t="s">
        <v>168</v>
      </c>
      <c r="AX81" s="14" t="s">
        <v>166</v>
      </c>
      <c r="AY81" s="14" t="s">
        <v>167</v>
      </c>
      <c r="AZ81" s="40">
        <f t="shared" si="13"/>
        <v>1</v>
      </c>
      <c r="BA81" s="14" t="s">
        <v>164</v>
      </c>
      <c r="BB81" s="14">
        <v>7.001</v>
      </c>
      <c r="BC81" s="14">
        <v>12.096</v>
      </c>
      <c r="BD81" s="14">
        <v>214.152</v>
      </c>
      <c r="BE81" s="14">
        <v>27.607</v>
      </c>
      <c r="BF81" s="14">
        <v>6803.397</v>
      </c>
      <c r="BG81" s="14">
        <v>45.85</v>
      </c>
      <c r="BH81" s="14">
        <v>128.865</v>
      </c>
      <c r="BI81" s="28">
        <f t="shared" si="14"/>
        <v>1</v>
      </c>
      <c r="BJ81" s="14" t="s">
        <v>164</v>
      </c>
      <c r="BK81" s="14">
        <v>0.96962</v>
      </c>
      <c r="BL81" s="14">
        <v>0.030361</v>
      </c>
      <c r="BM81" s="14">
        <v>0</v>
      </c>
      <c r="BN81" s="14">
        <v>2e-5</v>
      </c>
      <c r="BO81" s="14">
        <v>0</v>
      </c>
      <c r="BP81" s="14">
        <v>0</v>
      </c>
      <c r="BQ81" s="14">
        <v>0</v>
      </c>
      <c r="BR81" s="28">
        <f t="shared" si="15"/>
        <v>1</v>
      </c>
      <c r="BS81" s="28">
        <f t="shared" si="16"/>
        <v>1</v>
      </c>
      <c r="BT81" s="28">
        <f t="shared" si="17"/>
        <v>1</v>
      </c>
      <c r="BU81" s="28">
        <f t="shared" si="18"/>
        <v>1</v>
      </c>
      <c r="BV81" s="28">
        <f t="shared" si="19"/>
        <v>1</v>
      </c>
      <c r="BW81" s="14">
        <v>6</v>
      </c>
      <c r="BX81" s="15">
        <v>4</v>
      </c>
    </row>
    <row r="82" spans="1:76">
      <c r="A82" s="36" t="s">
        <v>90</v>
      </c>
      <c r="B82" s="37">
        <v>-2.72538120261394</v>
      </c>
      <c r="C82" s="37">
        <v>-0.902001780024055</v>
      </c>
      <c r="D82" s="37">
        <v>-2.14368176550967</v>
      </c>
      <c r="E82" s="37">
        <v>1.65587381087198</v>
      </c>
      <c r="F82" s="37">
        <v>-0.628769271407764</v>
      </c>
      <c r="G82" s="37">
        <v>2.10715000910307</v>
      </c>
      <c r="H82" s="37">
        <v>-1.00272717786794</v>
      </c>
      <c r="I82" s="37">
        <v>-0.304690707202636</v>
      </c>
      <c r="J82" s="37">
        <v>-1.04917341169395</v>
      </c>
      <c r="K82" s="7">
        <v>2</v>
      </c>
      <c r="L82" s="7">
        <v>7</v>
      </c>
      <c r="M82" s="7">
        <v>7</v>
      </c>
      <c r="N82" s="7">
        <v>3</v>
      </c>
      <c r="O82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22.6130945256643</v>
      </c>
      <c r="P82" s="39">
        <v>3</v>
      </c>
      <c r="Q82" s="3" t="s">
        <v>166</v>
      </c>
      <c r="R82" s="3" t="s">
        <v>166</v>
      </c>
      <c r="S82" s="3" t="s">
        <v>164</v>
      </c>
      <c r="T82" s="3" t="s">
        <v>163</v>
      </c>
      <c r="U82" s="3" t="s">
        <v>162</v>
      </c>
      <c r="V82" s="3" t="s">
        <v>167</v>
      </c>
      <c r="W82" s="3" t="s">
        <v>165</v>
      </c>
      <c r="X82" s="3" t="s">
        <v>168</v>
      </c>
      <c r="Y82" s="40">
        <f t="shared" si="10"/>
        <v>3</v>
      </c>
      <c r="Z82" s="14" t="s">
        <v>161</v>
      </c>
      <c r="AA82" s="14">
        <v>138.718</v>
      </c>
      <c r="AB82" s="14">
        <v>187.226</v>
      </c>
      <c r="AC82" s="14">
        <v>25.302</v>
      </c>
      <c r="AD82" s="14">
        <v>195.197</v>
      </c>
      <c r="AE82" s="14">
        <v>5501.949</v>
      </c>
      <c r="AF82" s="14">
        <v>220.201</v>
      </c>
      <c r="AG82" s="14">
        <v>136.977</v>
      </c>
      <c r="AH82" s="28">
        <f t="shared" si="11"/>
        <v>3</v>
      </c>
      <c r="AI82" s="14" t="s">
        <v>161</v>
      </c>
      <c r="AJ82" s="14">
        <v>0</v>
      </c>
      <c r="AK82" s="14">
        <v>0</v>
      </c>
      <c r="AL82" s="14">
        <v>1</v>
      </c>
      <c r="AM82" s="14">
        <v>0</v>
      </c>
      <c r="AN82" s="14">
        <v>0</v>
      </c>
      <c r="AO82" s="14">
        <v>0</v>
      </c>
      <c r="AP82" s="14">
        <v>0</v>
      </c>
      <c r="AQ82" s="28">
        <f t="shared" si="12"/>
        <v>3</v>
      </c>
      <c r="AR82" s="14" t="s">
        <v>166</v>
      </c>
      <c r="AS82" s="14" t="s">
        <v>166</v>
      </c>
      <c r="AT82" s="14" t="s">
        <v>164</v>
      </c>
      <c r="AU82" s="14" t="s">
        <v>163</v>
      </c>
      <c r="AV82" s="14" t="s">
        <v>162</v>
      </c>
      <c r="AW82" s="14" t="s">
        <v>167</v>
      </c>
      <c r="AX82" s="14" t="s">
        <v>165</v>
      </c>
      <c r="AY82" s="14" t="s">
        <v>168</v>
      </c>
      <c r="AZ82" s="40">
        <f t="shared" si="13"/>
        <v>3</v>
      </c>
      <c r="BA82" s="14" t="s">
        <v>166</v>
      </c>
      <c r="BB82" s="14">
        <v>182.701</v>
      </c>
      <c r="BC82" s="14">
        <v>248.41</v>
      </c>
      <c r="BD82" s="14">
        <v>4.445</v>
      </c>
      <c r="BE82" s="14">
        <v>267.119</v>
      </c>
      <c r="BF82" s="14">
        <v>5387.077</v>
      </c>
      <c r="BG82" s="14">
        <v>266.939</v>
      </c>
      <c r="BH82" s="14">
        <v>165.009</v>
      </c>
      <c r="BI82" s="28">
        <f t="shared" si="14"/>
        <v>3</v>
      </c>
      <c r="BJ82" s="14" t="s">
        <v>166</v>
      </c>
      <c r="BK82" s="14">
        <v>0</v>
      </c>
      <c r="BL82" s="14">
        <v>0</v>
      </c>
      <c r="BM82" s="14">
        <v>1</v>
      </c>
      <c r="BN82" s="14">
        <v>0</v>
      </c>
      <c r="BO82" s="14">
        <v>0</v>
      </c>
      <c r="BP82" s="14">
        <v>0</v>
      </c>
      <c r="BQ82" s="14">
        <v>0</v>
      </c>
      <c r="BR82" s="28">
        <f t="shared" si="15"/>
        <v>3</v>
      </c>
      <c r="BS82" s="28">
        <f t="shared" si="16"/>
        <v>1</v>
      </c>
      <c r="BT82" s="28">
        <f t="shared" si="17"/>
        <v>1</v>
      </c>
      <c r="BU82" s="28">
        <f t="shared" si="18"/>
        <v>1</v>
      </c>
      <c r="BV82" s="28">
        <f t="shared" si="19"/>
        <v>1</v>
      </c>
      <c r="BW82" s="14">
        <v>7</v>
      </c>
      <c r="BX82" s="15">
        <v>7</v>
      </c>
    </row>
    <row r="83" spans="1:76">
      <c r="A83" s="34" t="s">
        <v>91</v>
      </c>
      <c r="B83" s="35">
        <v>-1.15944879187673</v>
      </c>
      <c r="C83" s="35">
        <v>-0.490508169011949</v>
      </c>
      <c r="D83" s="35">
        <v>0.0959711492142174</v>
      </c>
      <c r="E83" s="35">
        <v>-0.194911975616957</v>
      </c>
      <c r="F83" s="35">
        <v>-0.602244774309584</v>
      </c>
      <c r="G83" s="35">
        <v>-0.0100428073010325</v>
      </c>
      <c r="H83" s="35">
        <v>-1.02939047689396</v>
      </c>
      <c r="I83" s="35">
        <v>-0.203738876247307</v>
      </c>
      <c r="J83" s="35">
        <v>1.77538712903543</v>
      </c>
      <c r="K83" s="6">
        <v>3</v>
      </c>
      <c r="L83" s="6">
        <v>7</v>
      </c>
      <c r="M83" s="6">
        <v>4</v>
      </c>
      <c r="N83" s="6">
        <v>4</v>
      </c>
      <c r="O83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6.24807427229313</v>
      </c>
      <c r="P83" s="39"/>
      <c r="Q83" s="3" t="s">
        <v>161</v>
      </c>
      <c r="R83" s="3" t="s">
        <v>162</v>
      </c>
      <c r="S83" s="3" t="s">
        <v>163</v>
      </c>
      <c r="T83" s="3" t="s">
        <v>164</v>
      </c>
      <c r="U83" s="3" t="s">
        <v>165</v>
      </c>
      <c r="V83" s="3" t="s">
        <v>166</v>
      </c>
      <c r="W83" s="3" t="s">
        <v>167</v>
      </c>
      <c r="X83" s="3" t="s">
        <v>168</v>
      </c>
      <c r="Y83" s="40">
        <f t="shared" si="10"/>
        <v>4</v>
      </c>
      <c r="Z83" s="14" t="s">
        <v>161</v>
      </c>
      <c r="AA83" s="14">
        <v>33.113</v>
      </c>
      <c r="AB83" s="14">
        <v>18.38</v>
      </c>
      <c r="AC83" s="14">
        <v>329.331</v>
      </c>
      <c r="AD83" s="14">
        <v>9.62</v>
      </c>
      <c r="AE83" s="14">
        <v>6780.229</v>
      </c>
      <c r="AF83" s="14">
        <v>61.44</v>
      </c>
      <c r="AG83" s="14">
        <v>171.006</v>
      </c>
      <c r="AH83" s="28">
        <f t="shared" si="11"/>
        <v>4</v>
      </c>
      <c r="AI83" s="14" t="s">
        <v>161</v>
      </c>
      <c r="AJ83" s="14">
        <v>1.3e-5</v>
      </c>
      <c r="AK83" s="14">
        <v>0.008281</v>
      </c>
      <c r="AL83" s="14">
        <v>0</v>
      </c>
      <c r="AM83" s="14">
        <v>0.991706</v>
      </c>
      <c r="AN83" s="14">
        <v>0</v>
      </c>
      <c r="AO83" s="14">
        <v>0</v>
      </c>
      <c r="AP83" s="14">
        <v>0</v>
      </c>
      <c r="AQ83" s="28">
        <f t="shared" si="12"/>
        <v>4</v>
      </c>
      <c r="AR83" s="14" t="s">
        <v>161</v>
      </c>
      <c r="AS83" s="14" t="s">
        <v>162</v>
      </c>
      <c r="AT83" s="14" t="s">
        <v>163</v>
      </c>
      <c r="AU83" s="14" t="s">
        <v>164</v>
      </c>
      <c r="AV83" s="14" t="s">
        <v>165</v>
      </c>
      <c r="AW83" s="14" t="s">
        <v>166</v>
      </c>
      <c r="AX83" s="14" t="s">
        <v>167</v>
      </c>
      <c r="AY83" s="14" t="s">
        <v>168</v>
      </c>
      <c r="AZ83" s="40">
        <f t="shared" si="13"/>
        <v>4</v>
      </c>
      <c r="BA83" s="14" t="s">
        <v>161</v>
      </c>
      <c r="BB83" s="14">
        <v>52.511</v>
      </c>
      <c r="BC83" s="14">
        <v>40.128</v>
      </c>
      <c r="BD83" s="14">
        <v>269.119</v>
      </c>
      <c r="BE83" s="14">
        <v>10.039</v>
      </c>
      <c r="BF83" s="14">
        <v>6247.802</v>
      </c>
      <c r="BG83" s="14">
        <v>100.931</v>
      </c>
      <c r="BH83" s="14">
        <v>159.296</v>
      </c>
      <c r="BI83" s="28">
        <f t="shared" si="14"/>
        <v>4</v>
      </c>
      <c r="BJ83" s="14" t="s">
        <v>161</v>
      </c>
      <c r="BK83" s="14">
        <v>0</v>
      </c>
      <c r="BL83" s="14">
        <v>0</v>
      </c>
      <c r="BM83" s="14">
        <v>0</v>
      </c>
      <c r="BN83" s="14">
        <v>1</v>
      </c>
      <c r="BO83" s="14">
        <v>0</v>
      </c>
      <c r="BP83" s="14">
        <v>0</v>
      </c>
      <c r="BQ83" s="14">
        <v>0</v>
      </c>
      <c r="BR83" s="28">
        <f t="shared" si="15"/>
        <v>4</v>
      </c>
      <c r="BS83" s="28">
        <f t="shared" si="16"/>
        <v>0</v>
      </c>
      <c r="BT83" s="28">
        <f t="shared" si="17"/>
        <v>0</v>
      </c>
      <c r="BU83" s="28">
        <f t="shared" si="18"/>
        <v>1</v>
      </c>
      <c r="BV83" s="28">
        <f t="shared" si="19"/>
        <v>1</v>
      </c>
      <c r="BW83" s="14">
        <v>2</v>
      </c>
      <c r="BX83" s="15">
        <v>3</v>
      </c>
    </row>
    <row r="84" spans="1:76">
      <c r="A84" s="36" t="s">
        <v>92</v>
      </c>
      <c r="B84" s="37">
        <v>1.16236396208222</v>
      </c>
      <c r="C84" s="37">
        <v>3.67439994579651</v>
      </c>
      <c r="D84" s="37">
        <v>2.01778553148554</v>
      </c>
      <c r="E84" s="37">
        <v>-1.26956178712666</v>
      </c>
      <c r="F84" s="37">
        <v>-0.198482985148405</v>
      </c>
      <c r="G84" s="37">
        <v>-2.12300968993986</v>
      </c>
      <c r="H84" s="37">
        <v>0.977451905163349</v>
      </c>
      <c r="I84" s="37">
        <v>6.86096316694616</v>
      </c>
      <c r="J84" s="37">
        <v>-0.437431413387104</v>
      </c>
      <c r="K84" s="7">
        <v>7</v>
      </c>
      <c r="L84" s="7">
        <v>5</v>
      </c>
      <c r="M84" s="7">
        <v>3</v>
      </c>
      <c r="N84" s="7">
        <v>5</v>
      </c>
      <c r="O84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73.3016902099105</v>
      </c>
      <c r="P84" s="39">
        <v>5</v>
      </c>
      <c r="Q84" s="3" t="s">
        <v>167</v>
      </c>
      <c r="R84" s="3" t="s">
        <v>167</v>
      </c>
      <c r="S84" s="3" t="s">
        <v>164</v>
      </c>
      <c r="T84" s="3" t="s">
        <v>163</v>
      </c>
      <c r="U84" s="3" t="s">
        <v>166</v>
      </c>
      <c r="V84" s="3" t="s">
        <v>162</v>
      </c>
      <c r="W84" s="3" t="s">
        <v>165</v>
      </c>
      <c r="X84" s="3" t="s">
        <v>168</v>
      </c>
      <c r="Y84" s="40">
        <f t="shared" si="10"/>
        <v>5</v>
      </c>
      <c r="Z84" s="14" t="s">
        <v>167</v>
      </c>
      <c r="AA84" s="14">
        <v>6779.673</v>
      </c>
      <c r="AB84" s="14">
        <v>6830.349</v>
      </c>
      <c r="AC84" s="14">
        <v>5721.683</v>
      </c>
      <c r="AD84" s="14">
        <v>6607.515</v>
      </c>
      <c r="AE84" s="14">
        <v>10.632</v>
      </c>
      <c r="AF84" s="14">
        <v>6843.69</v>
      </c>
      <c r="AG84" s="14">
        <v>6348.173</v>
      </c>
      <c r="AH84" s="28">
        <f t="shared" si="11"/>
        <v>5</v>
      </c>
      <c r="AI84" s="14" t="s">
        <v>167</v>
      </c>
      <c r="AJ84" s="14">
        <v>0</v>
      </c>
      <c r="AK84" s="14">
        <v>0</v>
      </c>
      <c r="AL84" s="14">
        <v>0</v>
      </c>
      <c r="AM84" s="14">
        <v>0</v>
      </c>
      <c r="AN84" s="14">
        <v>1</v>
      </c>
      <c r="AO84" s="14">
        <v>0</v>
      </c>
      <c r="AP84" s="14">
        <v>0</v>
      </c>
      <c r="AQ84" s="28">
        <f t="shared" si="12"/>
        <v>5</v>
      </c>
      <c r="AR84" s="14" t="s">
        <v>167</v>
      </c>
      <c r="AS84" s="14" t="s">
        <v>167</v>
      </c>
      <c r="AT84" s="14" t="s">
        <v>164</v>
      </c>
      <c r="AU84" s="14" t="s">
        <v>163</v>
      </c>
      <c r="AV84" s="14" t="s">
        <v>166</v>
      </c>
      <c r="AW84" s="14" t="s">
        <v>162</v>
      </c>
      <c r="AX84" s="14" t="s">
        <v>165</v>
      </c>
      <c r="AY84" s="14" t="s">
        <v>168</v>
      </c>
      <c r="AZ84" s="40">
        <f t="shared" si="13"/>
        <v>5</v>
      </c>
      <c r="BA84" s="14" t="s">
        <v>167</v>
      </c>
      <c r="BB84" s="14">
        <v>6650.048</v>
      </c>
      <c r="BC84" s="14">
        <v>6709.09</v>
      </c>
      <c r="BD84" s="14">
        <v>5509.819</v>
      </c>
      <c r="BE84" s="14">
        <v>6484.832</v>
      </c>
      <c r="BF84" s="14">
        <v>10.525</v>
      </c>
      <c r="BG84" s="14">
        <v>6736.98</v>
      </c>
      <c r="BH84" s="14">
        <v>6256.985</v>
      </c>
      <c r="BI84" s="28">
        <f t="shared" si="14"/>
        <v>5</v>
      </c>
      <c r="BJ84" s="14" t="s">
        <v>167</v>
      </c>
      <c r="BK84" s="14">
        <v>0</v>
      </c>
      <c r="BL84" s="14">
        <v>0</v>
      </c>
      <c r="BM84" s="14">
        <v>0</v>
      </c>
      <c r="BN84" s="14">
        <v>0</v>
      </c>
      <c r="BO84" s="14">
        <v>1</v>
      </c>
      <c r="BP84" s="14">
        <v>0</v>
      </c>
      <c r="BQ84" s="14">
        <v>0</v>
      </c>
      <c r="BR84" s="28">
        <f t="shared" si="15"/>
        <v>5</v>
      </c>
      <c r="BS84" s="28">
        <f t="shared" si="16"/>
        <v>1</v>
      </c>
      <c r="BT84" s="28">
        <f t="shared" si="17"/>
        <v>1</v>
      </c>
      <c r="BU84" s="28">
        <f t="shared" si="18"/>
        <v>1</v>
      </c>
      <c r="BV84" s="28">
        <f t="shared" si="19"/>
        <v>1</v>
      </c>
      <c r="BW84" s="14">
        <v>3</v>
      </c>
      <c r="BX84" s="15">
        <v>2</v>
      </c>
    </row>
    <row r="85" spans="1:76">
      <c r="A85" s="34" t="s">
        <v>93</v>
      </c>
      <c r="B85" s="35">
        <v>0.817540854311061</v>
      </c>
      <c r="C85" s="35">
        <v>2.47955208199503</v>
      </c>
      <c r="D85" s="35">
        <v>2.7509392393376</v>
      </c>
      <c r="E85" s="35">
        <v>-1.03075071790228</v>
      </c>
      <c r="F85" s="35">
        <v>-0.378260132147178</v>
      </c>
      <c r="G85" s="35">
        <v>-0.0353984098926988</v>
      </c>
      <c r="H85" s="35">
        <v>1.8446385146878</v>
      </c>
      <c r="I85" s="35">
        <v>0.182152167875123</v>
      </c>
      <c r="J85" s="35">
        <v>-0.163508470476509</v>
      </c>
      <c r="K85" s="6">
        <v>4</v>
      </c>
      <c r="L85" s="6">
        <v>6</v>
      </c>
      <c r="M85" s="6">
        <v>6</v>
      </c>
      <c r="N85" s="6">
        <v>6</v>
      </c>
      <c r="O85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19.0536047738207</v>
      </c>
      <c r="P85" s="39"/>
      <c r="Q85" s="3" t="s">
        <v>161</v>
      </c>
      <c r="R85" s="3" t="s">
        <v>165</v>
      </c>
      <c r="S85" s="3" t="s">
        <v>163</v>
      </c>
      <c r="T85" s="3" t="s">
        <v>162</v>
      </c>
      <c r="U85" s="3" t="s">
        <v>164</v>
      </c>
      <c r="V85" s="3" t="s">
        <v>168</v>
      </c>
      <c r="W85" s="3" t="s">
        <v>166</v>
      </c>
      <c r="X85" s="3" t="s">
        <v>167</v>
      </c>
      <c r="Y85" s="40">
        <f t="shared" si="10"/>
        <v>6</v>
      </c>
      <c r="Z85" s="14" t="s">
        <v>161</v>
      </c>
      <c r="AA85" s="14">
        <v>71.429</v>
      </c>
      <c r="AB85" s="14">
        <v>84.291</v>
      </c>
      <c r="AC85" s="14">
        <v>323.047</v>
      </c>
      <c r="AD85" s="14">
        <v>95.895</v>
      </c>
      <c r="AE85" s="14">
        <v>6842.094</v>
      </c>
      <c r="AF85" s="14">
        <v>54.804</v>
      </c>
      <c r="AG85" s="14">
        <v>204.899</v>
      </c>
      <c r="AH85" s="28">
        <f t="shared" si="11"/>
        <v>6</v>
      </c>
      <c r="AI85" s="14" t="s">
        <v>161</v>
      </c>
      <c r="AJ85" s="14">
        <v>0.000818</v>
      </c>
      <c r="AK85" s="14">
        <v>1e-6</v>
      </c>
      <c r="AL85" s="14">
        <v>0</v>
      </c>
      <c r="AM85" s="14">
        <v>0</v>
      </c>
      <c r="AN85" s="14">
        <v>0</v>
      </c>
      <c r="AO85" s="14">
        <v>0.999182</v>
      </c>
      <c r="AP85" s="14">
        <v>0</v>
      </c>
      <c r="AQ85" s="28">
        <f t="shared" si="12"/>
        <v>6</v>
      </c>
      <c r="AR85" s="14" t="s">
        <v>161</v>
      </c>
      <c r="AS85" s="14" t="s">
        <v>165</v>
      </c>
      <c r="AT85" s="14" t="s">
        <v>163</v>
      </c>
      <c r="AU85" s="14" t="s">
        <v>162</v>
      </c>
      <c r="AV85" s="14" t="s">
        <v>164</v>
      </c>
      <c r="AW85" s="14" t="s">
        <v>168</v>
      </c>
      <c r="AX85" s="14" t="s">
        <v>166</v>
      </c>
      <c r="AY85" s="14" t="s">
        <v>167</v>
      </c>
      <c r="AZ85" s="40">
        <f t="shared" si="13"/>
        <v>6</v>
      </c>
      <c r="BA85" s="14" t="s">
        <v>161</v>
      </c>
      <c r="BB85" s="14">
        <v>98.357</v>
      </c>
      <c r="BC85" s="14">
        <v>83.906</v>
      </c>
      <c r="BD85" s="14">
        <v>249.841</v>
      </c>
      <c r="BE85" s="14">
        <v>92.715</v>
      </c>
      <c r="BF85" s="14">
        <v>5734.723</v>
      </c>
      <c r="BG85" s="14">
        <v>73.68</v>
      </c>
      <c r="BH85" s="14">
        <v>186.741</v>
      </c>
      <c r="BI85" s="28">
        <f t="shared" si="14"/>
        <v>6</v>
      </c>
      <c r="BJ85" s="14" t="s">
        <v>161</v>
      </c>
      <c r="BK85" s="14">
        <v>1.4e-5</v>
      </c>
      <c r="BL85" s="14">
        <v>0.007957</v>
      </c>
      <c r="BM85" s="14">
        <v>0</v>
      </c>
      <c r="BN85" s="14">
        <v>0.000146</v>
      </c>
      <c r="BO85" s="14">
        <v>0</v>
      </c>
      <c r="BP85" s="14">
        <v>0.991883</v>
      </c>
      <c r="BQ85" s="14">
        <v>0</v>
      </c>
      <c r="BR85" s="28">
        <f t="shared" si="15"/>
        <v>6</v>
      </c>
      <c r="BS85" s="28">
        <f t="shared" si="16"/>
        <v>0</v>
      </c>
      <c r="BT85" s="28">
        <f t="shared" si="17"/>
        <v>0</v>
      </c>
      <c r="BU85" s="28">
        <f t="shared" si="18"/>
        <v>1</v>
      </c>
      <c r="BV85" s="28">
        <f t="shared" si="19"/>
        <v>1</v>
      </c>
      <c r="BW85" s="14">
        <v>4</v>
      </c>
      <c r="BX85" s="15">
        <v>6</v>
      </c>
    </row>
    <row r="86" spans="1:76">
      <c r="A86" s="36" t="s">
        <v>94</v>
      </c>
      <c r="B86" s="37">
        <v>0.108610007275658</v>
      </c>
      <c r="C86" s="37">
        <v>-0.0721218676981333</v>
      </c>
      <c r="D86" s="37">
        <v>0.474328355723883</v>
      </c>
      <c r="E86" s="37">
        <v>0.133453244566564</v>
      </c>
      <c r="F86" s="37">
        <v>3.16423381363193</v>
      </c>
      <c r="G86" s="37">
        <v>-0.694644077276013</v>
      </c>
      <c r="H86" s="37">
        <v>-0.00874685452016969</v>
      </c>
      <c r="I86" s="37">
        <v>-0.205104718557926</v>
      </c>
      <c r="J86" s="37">
        <v>-0.388978052419679</v>
      </c>
      <c r="K86" s="7">
        <v>6</v>
      </c>
      <c r="L86" s="7">
        <v>7</v>
      </c>
      <c r="M86" s="7">
        <v>1</v>
      </c>
      <c r="N86" s="7">
        <v>7</v>
      </c>
      <c r="O86" s="39">
        <f>(Таблица1[[#This Row],[X1]]-Таблица1[[#Totals],[X1]])^2+(Таблица1[[#This Row],[X2]]-Таблица1[[#Totals],[X2]])^2+(Таблица1[[#This Row],[X3]]-Таблица1[[#Totals],[X3]])^2+(Таблица1[[#This Row],[X4]]-Таблица1[[#Totals],[X4]])^2+(Таблица1[[#This Row],[X5]]-Таблица1[[#Totals],[X5]])^2+(Таблица1[[#This Row],[X6]]-Таблица1[[#Totals],[X6]])^2+(Таблица1[[#This Row],[X7]]-Таблица1[[#Totals],[X7]])^2+(Таблица1[[#This Row],[X8]]-Таблица1[[#Totals],[X8]])^2+(Таблица1[[#This Row],[X9]]-Таблица1[[#Totals],[X9]])^2</f>
        <v>10.948149254739</v>
      </c>
      <c r="P86" s="39">
        <v>7</v>
      </c>
      <c r="Q86" s="3" t="s">
        <v>168</v>
      </c>
      <c r="R86" s="3" t="s">
        <v>168</v>
      </c>
      <c r="S86" s="3" t="s">
        <v>164</v>
      </c>
      <c r="T86" s="3" t="s">
        <v>163</v>
      </c>
      <c r="U86" s="3" t="s">
        <v>162</v>
      </c>
      <c r="V86" s="3" t="s">
        <v>166</v>
      </c>
      <c r="W86" s="3" t="s">
        <v>167</v>
      </c>
      <c r="X86" s="3" t="s">
        <v>165</v>
      </c>
      <c r="Y86" s="40">
        <f t="shared" si="10"/>
        <v>7</v>
      </c>
      <c r="Z86" s="14" t="s">
        <v>161</v>
      </c>
      <c r="AA86" s="14">
        <v>376.727</v>
      </c>
      <c r="AB86" s="14">
        <v>407.132</v>
      </c>
      <c r="AC86" s="14">
        <v>389.719</v>
      </c>
      <c r="AD86" s="14">
        <v>390.964</v>
      </c>
      <c r="AE86" s="14">
        <v>5027.166</v>
      </c>
      <c r="AF86" s="14">
        <v>472.169</v>
      </c>
      <c r="AG86" s="14">
        <v>148.19</v>
      </c>
      <c r="AH86" s="28">
        <f t="shared" si="11"/>
        <v>7</v>
      </c>
      <c r="AI86" s="14" t="s">
        <v>161</v>
      </c>
      <c r="AJ86" s="14">
        <v>0</v>
      </c>
      <c r="AK86" s="14">
        <v>0</v>
      </c>
      <c r="AL86" s="14">
        <v>0</v>
      </c>
      <c r="AM86" s="14">
        <v>0</v>
      </c>
      <c r="AN86" s="14">
        <v>0</v>
      </c>
      <c r="AO86" s="14">
        <v>0</v>
      </c>
      <c r="AP86" s="14">
        <v>1</v>
      </c>
      <c r="AQ86" s="28">
        <f t="shared" si="12"/>
        <v>7</v>
      </c>
      <c r="AR86" s="14" t="s">
        <v>168</v>
      </c>
      <c r="AS86" s="14" t="s">
        <v>168</v>
      </c>
      <c r="AT86" s="14" t="s">
        <v>164</v>
      </c>
      <c r="AU86" s="14" t="s">
        <v>163</v>
      </c>
      <c r="AV86" s="14" t="s">
        <v>162</v>
      </c>
      <c r="AW86" s="14" t="s">
        <v>165</v>
      </c>
      <c r="AX86" s="14" t="s">
        <v>166</v>
      </c>
      <c r="AY86" s="14" t="s">
        <v>167</v>
      </c>
      <c r="AZ86" s="40">
        <f t="shared" si="13"/>
        <v>7</v>
      </c>
      <c r="BA86" s="14" t="s">
        <v>168</v>
      </c>
      <c r="BB86" s="14">
        <v>82.521</v>
      </c>
      <c r="BC86" s="14">
        <v>102.516</v>
      </c>
      <c r="BD86" s="14">
        <v>177.322</v>
      </c>
      <c r="BE86" s="14">
        <v>137.144</v>
      </c>
      <c r="BF86" s="14">
        <v>6321.75</v>
      </c>
      <c r="BG86" s="14">
        <v>151.988</v>
      </c>
      <c r="BH86" s="14">
        <v>6.458</v>
      </c>
      <c r="BI86" s="28">
        <f t="shared" si="14"/>
        <v>7</v>
      </c>
      <c r="BJ86" s="14" t="s">
        <v>168</v>
      </c>
      <c r="BK86" s="14">
        <v>0</v>
      </c>
      <c r="BL86" s="14">
        <v>0</v>
      </c>
      <c r="BM86" s="14">
        <v>0</v>
      </c>
      <c r="BN86" s="14">
        <v>0</v>
      </c>
      <c r="BO86" s="14">
        <v>0</v>
      </c>
      <c r="BP86" s="14">
        <v>0</v>
      </c>
      <c r="BQ86" s="14">
        <v>1</v>
      </c>
      <c r="BR86" s="28">
        <f t="shared" si="15"/>
        <v>7</v>
      </c>
      <c r="BS86" s="28">
        <f t="shared" si="16"/>
        <v>1</v>
      </c>
      <c r="BT86" s="28">
        <f t="shared" si="17"/>
        <v>1</v>
      </c>
      <c r="BU86" s="28">
        <f t="shared" si="18"/>
        <v>1</v>
      </c>
      <c r="BV86" s="28">
        <f t="shared" si="19"/>
        <v>1</v>
      </c>
      <c r="BW86" s="14">
        <v>6</v>
      </c>
      <c r="BX86" s="15">
        <v>5</v>
      </c>
    </row>
    <row r="87" spans="1:74">
      <c r="A87" s="42"/>
      <c r="B87" s="43">
        <f>SUBTOTAL(101,Таблица1[X1])</f>
        <v>-2.40657167396688e-15</v>
      </c>
      <c r="C87" s="43">
        <f>SUBTOTAL(101,Таблица1[X2])</f>
        <v>-2.02011610054221e-15</v>
      </c>
      <c r="D87" s="43">
        <f>SUBTOTAL(101,Таблица1[X3])</f>
        <v>1.20034701133002e-15</v>
      </c>
      <c r="E87" s="43">
        <f>SUBTOTAL(101,Таблица1[X4])</f>
        <v>-4.35599269073517e-16</v>
      </c>
      <c r="F87" s="43">
        <f>SUBTOTAL(101,Таблица1[X5])</f>
        <v>-3.29148473182988e-16</v>
      </c>
      <c r="G87" s="43">
        <f>SUBTOTAL(101,Таблица1[X6])</f>
        <v>-1.99905451669271e-14</v>
      </c>
      <c r="H87" s="43">
        <f>SUBTOTAL(101,Таблица1[X7])</f>
        <v>5.20588474289492e-15</v>
      </c>
      <c r="I87" s="43">
        <f>SUBTOTAL(101,Таблица1[X8])</f>
        <v>-7.83686840911875e-17</v>
      </c>
      <c r="J87" s="43">
        <f>SUBTOTAL(101,Таблица1[X9])</f>
        <v>-5.5563397020652e-15</v>
      </c>
      <c r="K87" s="43"/>
      <c r="L87" s="43"/>
      <c r="M87" s="43"/>
      <c r="N87" s="43"/>
      <c r="O87" s="43">
        <f>SUBTOTAL(109,Таблица1[раст^2])</f>
        <v>764.999999999999</v>
      </c>
      <c r="P87" s="43">
        <f>SUBTOTAL(103,Таблица1[Обуч.выборка])</f>
        <v>29</v>
      </c>
      <c r="BS87">
        <f>100*SUM(BS2:BS86)/COUNT(P2:P86)</f>
        <v>100</v>
      </c>
      <c r="BT87">
        <f>100*SUM(BT2:BT86)/COUNT(P2:P86)</f>
        <v>100</v>
      </c>
      <c r="BU87">
        <f>100*SUM(BU2:BU86)/COUNT(N2:N86)</f>
        <v>82.3529411764706</v>
      </c>
      <c r="BV87">
        <f>100*SUM(BV2:BV86)/COUNT(N2:N86)</f>
        <v>76.4705882352941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H14" sqref="H14"/>
    </sheetView>
  </sheetViews>
  <sheetFormatPr defaultColWidth="9" defaultRowHeight="14.5"/>
  <cols>
    <col min="2" max="2" width="13.7272727272727" customWidth="1"/>
    <col min="3" max="3" width="18.4545454545455" customWidth="1"/>
    <col min="4" max="4" width="12.8181818181818" customWidth="1"/>
    <col min="5" max="5" width="16.7272727272727" customWidth="1"/>
    <col min="6" max="8" width="12.8181818181818"/>
    <col min="9" max="9" width="10.9090909090909" customWidth="1"/>
    <col min="10" max="10" width="13" customWidth="1"/>
  </cols>
  <sheetData>
    <row r="1" spans="2:10">
      <c r="B1" s="23" t="s">
        <v>95</v>
      </c>
      <c r="C1" s="24" t="s">
        <v>96</v>
      </c>
      <c r="D1" s="24" t="s">
        <v>97</v>
      </c>
      <c r="E1" s="24" t="s">
        <v>98</v>
      </c>
      <c r="F1" s="25" t="s">
        <v>169</v>
      </c>
      <c r="G1" s="25" t="s">
        <v>170</v>
      </c>
      <c r="H1" s="25" t="s">
        <v>171</v>
      </c>
      <c r="I1" s="29" t="s">
        <v>159</v>
      </c>
      <c r="J1" s="29" t="s">
        <v>160</v>
      </c>
    </row>
    <row r="2" spans="1:10">
      <c r="A2">
        <v>1</v>
      </c>
      <c r="B2" s="26">
        <v>0</v>
      </c>
      <c r="C2">
        <v>0</v>
      </c>
      <c r="D2">
        <v>16.3361750649519</v>
      </c>
      <c r="E2">
        <v>75.2188634695722</v>
      </c>
      <c r="F2">
        <v>59.1374212298996</v>
      </c>
      <c r="G2">
        <v>55.2865027642348</v>
      </c>
      <c r="H2">
        <f>G2</f>
        <v>55.2865027642348</v>
      </c>
      <c r="I2">
        <v>27.6131557895654</v>
      </c>
      <c r="J2">
        <v>32.1084160332742</v>
      </c>
    </row>
    <row r="3" spans="1:10">
      <c r="A3">
        <v>2</v>
      </c>
      <c r="B3" s="26">
        <v>18.9413975797093</v>
      </c>
      <c r="C3">
        <v>0</v>
      </c>
      <c r="D3">
        <v>22.3740706184255</v>
      </c>
      <c r="E3">
        <v>34.6626487615556</v>
      </c>
      <c r="F3">
        <v>47.1388825532872</v>
      </c>
      <c r="G3">
        <v>36.1910935214073</v>
      </c>
      <c r="H3">
        <f t="shared" ref="H3:H9" si="0">G3</f>
        <v>36.1910935214073</v>
      </c>
      <c r="I3">
        <v>61.2540215849552</v>
      </c>
      <c r="J3">
        <v>14.3425992514482</v>
      </c>
    </row>
    <row r="4" spans="1:10">
      <c r="A4">
        <v>3</v>
      </c>
      <c r="B4">
        <v>154.213899134794</v>
      </c>
      <c r="C4">
        <v>0</v>
      </c>
      <c r="D4">
        <v>14.3425992514481</v>
      </c>
      <c r="E4">
        <v>51.2053476628593</v>
      </c>
      <c r="F4" s="12">
        <v>86.7900353576794</v>
      </c>
      <c r="G4">
        <v>137.028665860659</v>
      </c>
      <c r="H4">
        <f t="shared" si="0"/>
        <v>137.028665860659</v>
      </c>
      <c r="I4">
        <v>14.3425992514482</v>
      </c>
      <c r="J4">
        <v>77.1387809283526</v>
      </c>
    </row>
    <row r="5" spans="1:10">
      <c r="A5">
        <v>4</v>
      </c>
      <c r="B5">
        <v>57.8375201619372</v>
      </c>
      <c r="C5">
        <v>0</v>
      </c>
      <c r="D5">
        <v>46.2918068606253</v>
      </c>
      <c r="E5">
        <v>55.6003244802497</v>
      </c>
      <c r="F5">
        <v>52.9149974161606</v>
      </c>
      <c r="G5">
        <v>41.5848519820626</v>
      </c>
      <c r="H5">
        <f t="shared" si="0"/>
        <v>41.5848519820626</v>
      </c>
      <c r="I5">
        <v>32.5932091955141</v>
      </c>
      <c r="J5">
        <v>80.898624684606</v>
      </c>
    </row>
    <row r="6" spans="1:10">
      <c r="A6">
        <v>5</v>
      </c>
      <c r="B6">
        <v>27.6343024467196</v>
      </c>
      <c r="C6">
        <v>0</v>
      </c>
      <c r="D6">
        <v>73.3554069057412</v>
      </c>
      <c r="E6">
        <v>14.3425992514481</v>
      </c>
      <c r="F6">
        <v>14.3425992514482</v>
      </c>
      <c r="G6">
        <v>14.3425992514482</v>
      </c>
      <c r="H6">
        <f t="shared" si="0"/>
        <v>14.3425992514482</v>
      </c>
      <c r="I6">
        <v>74.9983689753341</v>
      </c>
      <c r="J6">
        <v>84.6167117844447</v>
      </c>
    </row>
    <row r="7" spans="1:10">
      <c r="A7">
        <v>6</v>
      </c>
      <c r="B7">
        <v>26.496751244982</v>
      </c>
      <c r="C7">
        <v>57.8375201619372</v>
      </c>
      <c r="D7" s="26">
        <v>80.7265939871224</v>
      </c>
      <c r="E7">
        <v>58.775938257362</v>
      </c>
      <c r="F7">
        <v>75.8322312289729</v>
      </c>
      <c r="G7">
        <v>66.9387753618291</v>
      </c>
      <c r="H7">
        <f t="shared" si="0"/>
        <v>66.9387753618291</v>
      </c>
      <c r="I7">
        <v>98.3639742532389</v>
      </c>
      <c r="J7">
        <v>41.6017003283233</v>
      </c>
    </row>
    <row r="8" spans="1:10">
      <c r="A8">
        <v>7</v>
      </c>
      <c r="B8" s="26">
        <v>14.3425992514481</v>
      </c>
      <c r="C8">
        <v>327.497272498501</v>
      </c>
      <c r="D8">
        <v>56.2216822387427</v>
      </c>
      <c r="E8">
        <v>20.0515812725125</v>
      </c>
      <c r="F8">
        <v>46.1895762478156</v>
      </c>
      <c r="G8">
        <v>35.3284298491711</v>
      </c>
      <c r="H8">
        <f t="shared" si="0"/>
        <v>35.3284298491711</v>
      </c>
      <c r="I8">
        <v>64.7554920673437</v>
      </c>
      <c r="J8">
        <v>47.7779054571796</v>
      </c>
    </row>
    <row r="9" spans="1:10">
      <c r="A9" s="27" t="s">
        <v>172</v>
      </c>
      <c r="B9" s="28">
        <f>SUM(B2:B8)</f>
        <v>299.46646981959</v>
      </c>
      <c r="C9" s="28">
        <f>SUM(C2:C8)</f>
        <v>385.334792660438</v>
      </c>
      <c r="D9">
        <f t="shared" ref="D9:J9" si="1">SUM(D2:D8)</f>
        <v>309.648334927057</v>
      </c>
      <c r="E9">
        <f t="shared" si="1"/>
        <v>309.857303155559</v>
      </c>
      <c r="F9" s="28">
        <f t="shared" si="1"/>
        <v>382.345743285263</v>
      </c>
      <c r="G9" s="28">
        <f t="shared" si="1"/>
        <v>386.700918590812</v>
      </c>
      <c r="H9" s="28">
        <f t="shared" si="1"/>
        <v>386.700918590812</v>
      </c>
      <c r="I9" s="28">
        <f t="shared" si="1"/>
        <v>373.9208211174</v>
      </c>
      <c r="J9" s="28">
        <f t="shared" si="1"/>
        <v>378.484738467629</v>
      </c>
    </row>
    <row r="10" spans="1:10">
      <c r="A10" t="s">
        <v>173</v>
      </c>
      <c r="B10">
        <v>295.943</v>
      </c>
      <c r="C10">
        <v>380.801</v>
      </c>
      <c r="D10">
        <v>295.943</v>
      </c>
      <c r="E10">
        <v>301.36</v>
      </c>
      <c r="F10">
        <v>390.832</v>
      </c>
      <c r="G10">
        <v>395.536</v>
      </c>
      <c r="H10">
        <v>396.285</v>
      </c>
      <c r="I10">
        <v>381.1342552</v>
      </c>
      <c r="J10">
        <v>385.4681372943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"/>
  <sheetViews>
    <sheetView topLeftCell="L3" workbookViewId="0">
      <selection activeCell="C28" sqref="C28"/>
    </sheetView>
  </sheetViews>
  <sheetFormatPr defaultColWidth="9" defaultRowHeight="14.5"/>
  <sheetData>
    <row r="1" spans="1:1">
      <c r="A1" s="23" t="s">
        <v>95</v>
      </c>
    </row>
    <row r="2" spans="2:10">
      <c r="B2" s="12" t="s">
        <v>174</v>
      </c>
      <c r="C2" s="12" t="s">
        <v>175</v>
      </c>
      <c r="D2" s="12" t="s">
        <v>176</v>
      </c>
      <c r="E2" s="12" t="s">
        <v>177</v>
      </c>
      <c r="F2" s="12" t="s">
        <v>178</v>
      </c>
      <c r="G2" s="12" t="s">
        <v>179</v>
      </c>
      <c r="H2" s="12" t="s">
        <v>180</v>
      </c>
      <c r="I2" s="12" t="s">
        <v>181</v>
      </c>
      <c r="J2" s="12" t="s">
        <v>182</v>
      </c>
    </row>
    <row r="3" spans="1:10">
      <c r="A3" s="12" t="s">
        <v>183</v>
      </c>
      <c r="B3">
        <v>-3.06137852599457</v>
      </c>
      <c r="C3">
        <v>-1.10740395101502</v>
      </c>
      <c r="D3">
        <v>-1.64705905855255</v>
      </c>
      <c r="E3">
        <v>6.28283827709432</v>
      </c>
      <c r="F3">
        <v>-0.497620369088987</v>
      </c>
      <c r="G3">
        <v>4.46522105012801</v>
      </c>
      <c r="H3">
        <v>-2.23438849725454</v>
      </c>
      <c r="I3">
        <v>-0.0196282344010262</v>
      </c>
      <c r="J3">
        <v>-1.88499601711906</v>
      </c>
    </row>
    <row r="4" spans="1:10">
      <c r="A4" s="12" t="s">
        <v>184</v>
      </c>
      <c r="B4">
        <v>-1.78282552908311</v>
      </c>
      <c r="C4">
        <v>-1.10701008299778</v>
      </c>
      <c r="D4">
        <v>-1.05586354906125</v>
      </c>
      <c r="E4">
        <v>1.34883100758349</v>
      </c>
      <c r="F4">
        <v>-0.455939016506133</v>
      </c>
      <c r="G4">
        <v>0.935962651297568</v>
      </c>
      <c r="H4">
        <v>-0.860190510665067</v>
      </c>
      <c r="I4">
        <v>-0.069109220205291</v>
      </c>
      <c r="J4">
        <v>-0.496064352824122</v>
      </c>
    </row>
    <row r="5" spans="1:10">
      <c r="A5" s="12" t="s">
        <v>185</v>
      </c>
      <c r="B5">
        <v>-0.0106879385154576</v>
      </c>
      <c r="C5">
        <v>-0.292829865682602</v>
      </c>
      <c r="D5">
        <v>-0.0616890097386139</v>
      </c>
      <c r="E5">
        <v>-0.250517494186359</v>
      </c>
      <c r="F5">
        <v>-0.203828335870805</v>
      </c>
      <c r="G5">
        <v>-0.208993140054574</v>
      </c>
      <c r="H5">
        <v>-0.27391238727278</v>
      </c>
      <c r="I5">
        <v>-0.232043450503685</v>
      </c>
      <c r="J5">
        <v>0.27318516295152</v>
      </c>
    </row>
    <row r="6" spans="1:10">
      <c r="A6" s="12" t="s">
        <v>186</v>
      </c>
      <c r="B6">
        <v>0.989430352624343</v>
      </c>
      <c r="C6">
        <v>1.82371259978729</v>
      </c>
      <c r="D6">
        <v>1.07733121631505</v>
      </c>
      <c r="E6">
        <v>-0.216622072819173</v>
      </c>
      <c r="F6">
        <v>-0.0448284489281416</v>
      </c>
      <c r="G6">
        <v>-0.675819463230664</v>
      </c>
      <c r="H6">
        <v>1.38837672433146</v>
      </c>
      <c r="I6">
        <v>0.150040872039367</v>
      </c>
      <c r="J6">
        <v>-0.235881601120498</v>
      </c>
    </row>
    <row r="7" spans="1:10">
      <c r="A7" s="12" t="s">
        <v>187</v>
      </c>
      <c r="B7">
        <v>0.00591264524071991</v>
      </c>
      <c r="C7">
        <v>-0.0707925631399439</v>
      </c>
      <c r="D7">
        <v>-0.587091311517524</v>
      </c>
      <c r="E7">
        <v>-0.557393062832532</v>
      </c>
      <c r="F7">
        <v>-0.264373204130391</v>
      </c>
      <c r="G7">
        <v>1.53604524596699</v>
      </c>
      <c r="H7">
        <v>1.06568110494473</v>
      </c>
      <c r="I7">
        <v>-0.297103946709747</v>
      </c>
      <c r="J7">
        <v>-1.17157087967252</v>
      </c>
    </row>
    <row r="8" spans="1:10">
      <c r="A8" s="12" t="s">
        <v>188</v>
      </c>
      <c r="B8">
        <v>0.77191314978338</v>
      </c>
      <c r="C8">
        <v>-0.38694549722875</v>
      </c>
      <c r="D8">
        <v>-0.003122404871649</v>
      </c>
      <c r="E8">
        <v>0.551372615709228</v>
      </c>
      <c r="F8">
        <v>2.7882245075457</v>
      </c>
      <c r="G8">
        <v>-0.327692161991049</v>
      </c>
      <c r="H8">
        <v>-0.441939637623211</v>
      </c>
      <c r="I8">
        <v>0.079767429552721</v>
      </c>
      <c r="J8">
        <v>0.0017355391537609</v>
      </c>
    </row>
    <row r="9" spans="1:10">
      <c r="A9" s="12" t="s">
        <v>189</v>
      </c>
      <c r="B9">
        <v>0.264820399805801</v>
      </c>
      <c r="C9">
        <v>3.27359000475206</v>
      </c>
      <c r="D9">
        <v>2.23098681451877</v>
      </c>
      <c r="E9">
        <v>0.0140477099543747</v>
      </c>
      <c r="F9">
        <v>-0.150591532054469</v>
      </c>
      <c r="G9">
        <v>-0.855229560356542</v>
      </c>
      <c r="H9">
        <v>1.07248997315095</v>
      </c>
      <c r="I9">
        <v>6.14414110437242</v>
      </c>
      <c r="J9">
        <v>1.1051418557355</v>
      </c>
    </row>
    <row r="11" spans="1:1">
      <c r="A11" s="24" t="s">
        <v>96</v>
      </c>
    </row>
    <row r="12" spans="2:10">
      <c r="B12" s="12" t="s">
        <v>174</v>
      </c>
      <c r="C12" s="12" t="s">
        <v>175</v>
      </c>
      <c r="D12" s="12" t="s">
        <v>176</v>
      </c>
      <c r="E12" s="12" t="s">
        <v>177</v>
      </c>
      <c r="F12" s="12" t="s">
        <v>178</v>
      </c>
      <c r="G12" s="12" t="s">
        <v>179</v>
      </c>
      <c r="H12" s="12" t="s">
        <v>180</v>
      </c>
      <c r="I12" s="12" t="s">
        <v>181</v>
      </c>
      <c r="J12" s="12" t="s">
        <v>182</v>
      </c>
    </row>
    <row r="13" spans="1:10">
      <c r="A13" s="12" t="s">
        <v>183</v>
      </c>
      <c r="B13">
        <v>0.555672111286578</v>
      </c>
      <c r="C13">
        <v>0.364530062915218</v>
      </c>
      <c r="D13">
        <v>-0.857082473532359</v>
      </c>
      <c r="E13">
        <v>-0.881493799637047</v>
      </c>
      <c r="F13">
        <v>0.725453663771521</v>
      </c>
      <c r="G13">
        <v>2.14940934675586</v>
      </c>
      <c r="H13">
        <v>3.98639947851197</v>
      </c>
      <c r="I13">
        <v>-0.376551772524593</v>
      </c>
      <c r="J13">
        <v>-0.322148438593776</v>
      </c>
    </row>
    <row r="14" spans="1:10">
      <c r="A14" s="12" t="s">
        <v>184</v>
      </c>
      <c r="B14">
        <v>1.30612079992379</v>
      </c>
      <c r="C14">
        <v>-0.268908175811961</v>
      </c>
      <c r="D14">
        <v>-0.697701232694953</v>
      </c>
      <c r="E14">
        <v>0.252858779178754</v>
      </c>
      <c r="F14">
        <v>5.5028103077881</v>
      </c>
      <c r="G14">
        <v>-1.78070905495235</v>
      </c>
      <c r="H14">
        <v>-0.387983648392441</v>
      </c>
      <c r="I14">
        <v>0.651572519045084</v>
      </c>
      <c r="J14">
        <v>0.91380691923409</v>
      </c>
    </row>
    <row r="15" spans="1:10">
      <c r="A15" s="12" t="s">
        <v>185</v>
      </c>
      <c r="B15">
        <v>-0.632723162470615</v>
      </c>
      <c r="C15">
        <v>2.8727800637076</v>
      </c>
      <c r="D15">
        <v>2.444188097552</v>
      </c>
      <c r="E15">
        <v>1.29765720703541</v>
      </c>
      <c r="F15">
        <v>-0.102700078960534</v>
      </c>
      <c r="G15">
        <v>0.412550569226752</v>
      </c>
      <c r="H15">
        <v>1.16752804113855</v>
      </c>
      <c r="I15">
        <v>5.4273190417987</v>
      </c>
      <c r="J15">
        <v>2.64771512485808</v>
      </c>
    </row>
    <row r="16" spans="1:10">
      <c r="A16" s="12" t="s">
        <v>186</v>
      </c>
      <c r="B16">
        <v>-3.06137852599457</v>
      </c>
      <c r="C16">
        <v>-1.10740395101502</v>
      </c>
      <c r="D16">
        <v>-1.64705905855255</v>
      </c>
      <c r="E16">
        <v>6.28283827709432</v>
      </c>
      <c r="F16">
        <v>-0.497620369088987</v>
      </c>
      <c r="G16">
        <v>4.46522105012801</v>
      </c>
      <c r="H16">
        <v>-2.23438849725454</v>
      </c>
      <c r="I16">
        <v>-0.0196282344010262</v>
      </c>
      <c r="J16">
        <v>-1.88499601711906</v>
      </c>
    </row>
    <row r="17" spans="1:10">
      <c r="A17" s="12" t="s">
        <v>187</v>
      </c>
      <c r="B17">
        <v>1.16236396208222</v>
      </c>
      <c r="C17">
        <v>3.67439994579651</v>
      </c>
      <c r="D17">
        <v>2.01778553148555</v>
      </c>
      <c r="E17">
        <v>-1.26956178712666</v>
      </c>
      <c r="F17">
        <v>-0.198482985148405</v>
      </c>
      <c r="G17">
        <v>-2.12300968993983</v>
      </c>
      <c r="H17">
        <v>0.977451905163345</v>
      </c>
      <c r="I17">
        <v>6.86096316694615</v>
      </c>
      <c r="J17">
        <v>-0.437431413387091</v>
      </c>
    </row>
    <row r="18" spans="1:10">
      <c r="A18" s="12" t="s">
        <v>188</v>
      </c>
      <c r="B18">
        <v>0.989430352624343</v>
      </c>
      <c r="C18">
        <v>1.82371259978729</v>
      </c>
      <c r="D18">
        <v>1.07733121631505</v>
      </c>
      <c r="E18">
        <v>-0.216622072819173</v>
      </c>
      <c r="F18">
        <v>-0.0448284489281416</v>
      </c>
      <c r="G18">
        <v>-0.675819463230664</v>
      </c>
      <c r="H18">
        <v>1.38837672433146</v>
      </c>
      <c r="I18">
        <v>0.150040872039367</v>
      </c>
      <c r="J18">
        <v>-0.235881601120498</v>
      </c>
    </row>
    <row r="19" spans="1:10">
      <c r="A19" s="12" t="s">
        <v>189</v>
      </c>
      <c r="B19">
        <v>-0.14802592845935</v>
      </c>
      <c r="C19">
        <v>-0.370959949902211</v>
      </c>
      <c r="D19">
        <v>-0.190011220923526</v>
      </c>
      <c r="E19">
        <v>-0.0478182010946944</v>
      </c>
      <c r="F19">
        <v>-0.0715412695674225</v>
      </c>
      <c r="G19">
        <v>0.062471766294476</v>
      </c>
      <c r="H19">
        <v>-0.272190597779898</v>
      </c>
      <c r="I19">
        <v>-0.205711946569527</v>
      </c>
      <c r="J19">
        <v>0.0243152382222215</v>
      </c>
    </row>
    <row r="21" spans="1:1">
      <c r="A21" s="24" t="s">
        <v>97</v>
      </c>
    </row>
    <row r="22" spans="2:10">
      <c r="B22" s="12" t="s">
        <v>174</v>
      </c>
      <c r="C22" s="12" t="s">
        <v>175</v>
      </c>
      <c r="D22" s="12" t="s">
        <v>176</v>
      </c>
      <c r="E22" s="12" t="s">
        <v>177</v>
      </c>
      <c r="F22" s="12" t="s">
        <v>178</v>
      </c>
      <c r="G22" s="12" t="s">
        <v>179</v>
      </c>
      <c r="H22" s="12" t="s">
        <v>180</v>
      </c>
      <c r="I22" s="12" t="s">
        <v>181</v>
      </c>
      <c r="J22" s="12" t="s">
        <v>182</v>
      </c>
    </row>
    <row r="23" spans="1:10">
      <c r="A23" s="12" t="s">
        <v>183</v>
      </c>
      <c r="B23">
        <v>0.856539704254102</v>
      </c>
      <c r="C23">
        <v>-0.421408948737302</v>
      </c>
      <c r="D23">
        <v>-0.0257591608166719</v>
      </c>
      <c r="E23">
        <v>0.931977757285582</v>
      </c>
      <c r="F23">
        <v>3.34069539849343</v>
      </c>
      <c r="G23">
        <v>-0.788671103553419</v>
      </c>
      <c r="H23">
        <v>-0.409783470128309</v>
      </c>
      <c r="I23">
        <v>0.207635519289247</v>
      </c>
      <c r="J23">
        <v>-0.101902160089612</v>
      </c>
    </row>
    <row r="24" spans="1:10">
      <c r="A24" s="12" t="s">
        <v>184</v>
      </c>
      <c r="B24">
        <v>0.0714247711176397</v>
      </c>
      <c r="C24">
        <v>-0.056153801832502</v>
      </c>
      <c r="D24">
        <v>-0.792944998354795</v>
      </c>
      <c r="E24">
        <v>-0.578004732497732</v>
      </c>
      <c r="F24">
        <v>-0.217148371995272</v>
      </c>
      <c r="G24">
        <v>1.59862931268134</v>
      </c>
      <c r="H24">
        <v>1.29210934960635</v>
      </c>
      <c r="I24">
        <v>-0.306879337197494</v>
      </c>
      <c r="J24">
        <v>-1.02865606846477</v>
      </c>
    </row>
    <row r="25" spans="1:10">
      <c r="A25" s="12" t="s">
        <v>185</v>
      </c>
      <c r="B25">
        <v>0.264820399805801</v>
      </c>
      <c r="C25">
        <v>3.27359000475206</v>
      </c>
      <c r="D25">
        <v>2.23098681451877</v>
      </c>
      <c r="E25">
        <v>0.0140477099543747</v>
      </c>
      <c r="F25">
        <v>-0.150591532054469</v>
      </c>
      <c r="G25">
        <v>-0.855229560356542</v>
      </c>
      <c r="H25">
        <v>1.07248997315095</v>
      </c>
      <c r="I25">
        <v>6.14414110437242</v>
      </c>
      <c r="J25">
        <v>1.1051418557355</v>
      </c>
    </row>
    <row r="26" spans="1:10">
      <c r="A26" s="12" t="s">
        <v>186</v>
      </c>
      <c r="B26">
        <v>-0.320195263987542</v>
      </c>
      <c r="C26">
        <v>-0.410380644254565</v>
      </c>
      <c r="D26">
        <v>-0.0494815570978335</v>
      </c>
      <c r="E26">
        <v>-0.363572293256675</v>
      </c>
      <c r="F26">
        <v>-0.233848981279311</v>
      </c>
      <c r="G26">
        <v>0.00263499399482006</v>
      </c>
      <c r="H26">
        <v>-0.354871950653473</v>
      </c>
      <c r="I26">
        <v>-0.231509585697291</v>
      </c>
      <c r="J26">
        <v>1.15783256812598</v>
      </c>
    </row>
    <row r="27" spans="1:10">
      <c r="A27" s="12" t="s">
        <v>187</v>
      </c>
      <c r="B27">
        <v>0.0118016397687209</v>
      </c>
      <c r="C27">
        <v>-0.261992509875911</v>
      </c>
      <c r="D27">
        <v>-0.00809633151807231</v>
      </c>
      <c r="E27">
        <v>-0.14217453116324</v>
      </c>
      <c r="F27">
        <v>-0.0341293420178321</v>
      </c>
      <c r="G27">
        <v>-0.217395290717303</v>
      </c>
      <c r="H27">
        <v>-0.368049113240797</v>
      </c>
      <c r="I27">
        <v>-0.234491777496137</v>
      </c>
      <c r="J27">
        <v>-0.371971774218515</v>
      </c>
    </row>
    <row r="28" spans="1:10">
      <c r="A28" s="12" t="s">
        <v>188</v>
      </c>
      <c r="B28">
        <v>1.14711100486212</v>
      </c>
      <c r="C28">
        <v>1.35994942065388</v>
      </c>
      <c r="D28">
        <v>0.711290532922533</v>
      </c>
      <c r="E28">
        <v>-0.298396772280854</v>
      </c>
      <c r="F28">
        <v>-0.157910328476004</v>
      </c>
      <c r="G28">
        <v>-0.618295540583308</v>
      </c>
      <c r="H28">
        <v>1.20907548791844</v>
      </c>
      <c r="I28">
        <v>0.0593859701300751</v>
      </c>
      <c r="J28">
        <v>-0.151386020626676</v>
      </c>
    </row>
    <row r="29" spans="1:10">
      <c r="A29" s="12" t="s">
        <v>189</v>
      </c>
      <c r="B29">
        <v>-1.94264465369704</v>
      </c>
      <c r="C29">
        <v>-1.10705931649994</v>
      </c>
      <c r="D29">
        <v>-1.12976298774766</v>
      </c>
      <c r="E29">
        <v>1.96558191627235</v>
      </c>
      <c r="F29">
        <v>-0.46114918557899</v>
      </c>
      <c r="G29">
        <v>1.37711995115137</v>
      </c>
      <c r="H29">
        <v>-1.03196525898875</v>
      </c>
      <c r="I29">
        <v>-0.0629240969797579</v>
      </c>
      <c r="J29">
        <v>-0.669680810860989</v>
      </c>
    </row>
    <row r="31" spans="1:1">
      <c r="A31" s="24" t="s">
        <v>98</v>
      </c>
    </row>
    <row r="32" spans="2:10">
      <c r="B32" s="12" t="s">
        <v>174</v>
      </c>
      <c r="C32" s="12" t="s">
        <v>175</v>
      </c>
      <c r="D32" s="12" t="s">
        <v>176</v>
      </c>
      <c r="E32" s="12" t="s">
        <v>177</v>
      </c>
      <c r="F32" s="12" t="s">
        <v>178</v>
      </c>
      <c r="G32" s="12" t="s">
        <v>179</v>
      </c>
      <c r="H32" s="12" t="s">
        <v>180</v>
      </c>
      <c r="I32" s="12" t="s">
        <v>181</v>
      </c>
      <c r="J32" s="12" t="s">
        <v>182</v>
      </c>
    </row>
    <row r="33" spans="1:10">
      <c r="A33" s="12" t="s">
        <v>183</v>
      </c>
      <c r="B33">
        <v>-0.0648351113230198</v>
      </c>
      <c r="C33">
        <v>-0.316919328948012</v>
      </c>
      <c r="D33">
        <v>-0.375035862064103</v>
      </c>
      <c r="E33">
        <v>-0.264908323493068</v>
      </c>
      <c r="F33">
        <v>-0.155037688177248</v>
      </c>
      <c r="G33">
        <v>0.318559973412818</v>
      </c>
      <c r="H33">
        <v>-0.12155979752076</v>
      </c>
      <c r="I33">
        <v>-0.252894930032768</v>
      </c>
      <c r="J33">
        <v>-0.580631839165203</v>
      </c>
    </row>
    <row r="34" spans="1:10">
      <c r="A34" s="12" t="s">
        <v>184</v>
      </c>
      <c r="B34">
        <v>0.08815439674173</v>
      </c>
      <c r="C34">
        <v>0.335050556701749</v>
      </c>
      <c r="D34">
        <v>1.21540670498214</v>
      </c>
      <c r="E34">
        <v>-0.0800989615667746</v>
      </c>
      <c r="F34">
        <v>-0.14781439453778</v>
      </c>
      <c r="G34">
        <v>-0.482372173527814</v>
      </c>
      <c r="H34">
        <v>0.0640952714092849</v>
      </c>
      <c r="I34">
        <v>-0.200533754364194</v>
      </c>
      <c r="J34">
        <v>-0.0771372182939475</v>
      </c>
    </row>
    <row r="35" spans="1:10">
      <c r="A35" s="12" t="s">
        <v>185</v>
      </c>
      <c r="B35">
        <v>-2.06204608724609</v>
      </c>
      <c r="C35">
        <v>-1.14683998624124</v>
      </c>
      <c r="D35">
        <v>-1.16891533604033</v>
      </c>
      <c r="E35">
        <v>2.15481836621577</v>
      </c>
      <c r="F35">
        <v>-0.413415616396353</v>
      </c>
      <c r="G35">
        <v>1.438245064542</v>
      </c>
      <c r="H35">
        <v>-1.17325131774559</v>
      </c>
      <c r="I35">
        <v>-0.0606420896857467</v>
      </c>
      <c r="J35">
        <v>-0.771725544619574</v>
      </c>
    </row>
    <row r="36" spans="1:10">
      <c r="A36" s="12" t="s">
        <v>186</v>
      </c>
      <c r="B36">
        <v>-0.139700721046331</v>
      </c>
      <c r="C36">
        <v>-0.370738605690386</v>
      </c>
      <c r="D36">
        <v>-0.183523490515148</v>
      </c>
      <c r="E36">
        <v>-0.204338728349498</v>
      </c>
      <c r="F36">
        <v>-0.251144194299469</v>
      </c>
      <c r="G36">
        <v>-0.213999715867308</v>
      </c>
      <c r="H36">
        <v>-0.419766397197573</v>
      </c>
      <c r="I36">
        <v>-0.185333976516249</v>
      </c>
      <c r="J36">
        <v>1.28562797214716</v>
      </c>
    </row>
    <row r="37" spans="1:10">
      <c r="A37" s="12" t="s">
        <v>187</v>
      </c>
      <c r="B37">
        <v>0.264820399805801</v>
      </c>
      <c r="C37">
        <v>3.27359000475206</v>
      </c>
      <c r="D37">
        <v>2.23098681451877</v>
      </c>
      <c r="E37">
        <v>0.0140477099543747</v>
      </c>
      <c r="F37">
        <v>-0.150591532054469</v>
      </c>
      <c r="G37">
        <v>-0.855229560356542</v>
      </c>
      <c r="H37">
        <v>1.07248997315095</v>
      </c>
      <c r="I37">
        <v>6.14414110437242</v>
      </c>
      <c r="J37">
        <v>1.1051418557355</v>
      </c>
    </row>
    <row r="38" spans="1:10">
      <c r="A38" s="12" t="s">
        <v>188</v>
      </c>
      <c r="B38">
        <v>1.32969546857445</v>
      </c>
      <c r="C38">
        <v>1.54914228161866</v>
      </c>
      <c r="D38">
        <v>0.258078040257248</v>
      </c>
      <c r="E38">
        <v>-0.61880162349023</v>
      </c>
      <c r="F38">
        <v>-0.0738178487869603</v>
      </c>
      <c r="G38">
        <v>-0.39248981305864</v>
      </c>
      <c r="H38">
        <v>1.87040922258762</v>
      </c>
      <c r="I38">
        <v>0.104764297595305</v>
      </c>
      <c r="J38">
        <v>-0.356487071556504</v>
      </c>
    </row>
    <row r="39" spans="1:10">
      <c r="A39" s="12" t="s">
        <v>189</v>
      </c>
      <c r="B39">
        <v>0.799250379194391</v>
      </c>
      <c r="C39">
        <v>-0.426337222303024</v>
      </c>
      <c r="D39">
        <v>-0.0595295048897571</v>
      </c>
      <c r="E39">
        <v>0.736451194358122</v>
      </c>
      <c r="F39">
        <v>3.02453812891485</v>
      </c>
      <c r="G39">
        <v>-0.666752914425158</v>
      </c>
      <c r="H39">
        <v>-0.393751160284765</v>
      </c>
      <c r="I39">
        <v>0.110161354919169</v>
      </c>
      <c r="J39">
        <v>0.0341683038494417</v>
      </c>
    </row>
    <row r="41" spans="2:10">
      <c r="B41" s="12" t="s">
        <v>174</v>
      </c>
      <c r="C41" s="12" t="s">
        <v>175</v>
      </c>
      <c r="D41" s="12" t="s">
        <v>176</v>
      </c>
      <c r="E41" s="12" t="s">
        <v>177</v>
      </c>
      <c r="F41" s="12" t="s">
        <v>178</v>
      </c>
      <c r="G41" s="12" t="s">
        <v>179</v>
      </c>
      <c r="H41" s="12" t="s">
        <v>180</v>
      </c>
      <c r="I41" s="12" t="s">
        <v>181</v>
      </c>
      <c r="J41" s="12" t="s">
        <v>182</v>
      </c>
    </row>
    <row r="42" spans="1:10">
      <c r="A42" s="12" t="s">
        <v>183</v>
      </c>
      <c r="B42" s="14">
        <v>-0.13973</v>
      </c>
      <c r="C42" s="14">
        <v>-0.29596</v>
      </c>
      <c r="D42" s="14">
        <v>-0.15742</v>
      </c>
      <c r="E42" s="14">
        <v>-0.433723</v>
      </c>
      <c r="F42" s="14">
        <v>-0.094006</v>
      </c>
      <c r="G42" s="14">
        <v>0.225342</v>
      </c>
      <c r="H42" s="14">
        <v>-0.281491</v>
      </c>
      <c r="I42" s="14">
        <v>-0.280779</v>
      </c>
      <c r="J42" s="14">
        <v>-0.38762</v>
      </c>
    </row>
    <row r="43" spans="1:10">
      <c r="A43" s="12" t="s">
        <v>184</v>
      </c>
      <c r="B43" s="14">
        <v>0.0535</v>
      </c>
      <c r="C43" s="14">
        <v>-0.18818</v>
      </c>
      <c r="D43" s="14">
        <v>0.95501</v>
      </c>
      <c r="E43" s="14">
        <v>-0.217301</v>
      </c>
      <c r="F43" s="14">
        <v>-0.488042</v>
      </c>
      <c r="G43" s="14">
        <v>-0.48546</v>
      </c>
      <c r="H43" s="14">
        <v>-0.149587</v>
      </c>
      <c r="I43" s="14">
        <v>-0.235855</v>
      </c>
      <c r="J43" s="14">
        <v>-0.30463</v>
      </c>
    </row>
    <row r="44" spans="1:10">
      <c r="A44" s="12" t="s">
        <v>185</v>
      </c>
      <c r="B44" s="14">
        <v>-2.69289</v>
      </c>
      <c r="C44" s="14">
        <v>-1.23561</v>
      </c>
      <c r="D44" s="14">
        <v>-1.37657</v>
      </c>
      <c r="E44" s="14">
        <v>1.775279</v>
      </c>
      <c r="F44" s="14">
        <v>-0.622875</v>
      </c>
      <c r="G44" s="14">
        <v>1.764849</v>
      </c>
      <c r="H44" s="14">
        <v>-0.595454</v>
      </c>
      <c r="I44" s="14">
        <v>-0.32465</v>
      </c>
      <c r="J44" s="14">
        <v>-1.2169</v>
      </c>
    </row>
    <row r="45" spans="1:10">
      <c r="A45" s="12" t="s">
        <v>186</v>
      </c>
      <c r="B45" s="14">
        <v>-0.14471</v>
      </c>
      <c r="C45" s="14">
        <v>-0.37793</v>
      </c>
      <c r="D45" s="14">
        <v>-0.30248</v>
      </c>
      <c r="E45" s="14">
        <v>-0.388946</v>
      </c>
      <c r="F45" s="14">
        <v>-0.340438</v>
      </c>
      <c r="G45" s="14">
        <v>-0.28825</v>
      </c>
      <c r="H45" s="14">
        <v>-0.32268</v>
      </c>
      <c r="I45" s="14">
        <v>-0.203616</v>
      </c>
      <c r="J45" s="14">
        <v>1.25862</v>
      </c>
    </row>
    <row r="46" spans="1:10">
      <c r="A46" s="12" t="s">
        <v>187</v>
      </c>
      <c r="B46" s="14">
        <v>0.26482</v>
      </c>
      <c r="C46" s="14">
        <v>3.27359</v>
      </c>
      <c r="D46" s="14">
        <v>2.23099</v>
      </c>
      <c r="E46" s="14">
        <v>0.014048</v>
      </c>
      <c r="F46" s="14">
        <v>-0.150592</v>
      </c>
      <c r="G46" s="14">
        <v>-0.85523</v>
      </c>
      <c r="H46" s="14">
        <v>1.07249</v>
      </c>
      <c r="I46" s="14">
        <v>6.144141</v>
      </c>
      <c r="J46" s="14">
        <v>1.10514</v>
      </c>
    </row>
    <row r="47" spans="1:10">
      <c r="A47" s="12" t="s">
        <v>188</v>
      </c>
      <c r="B47" s="14">
        <v>1.23823</v>
      </c>
      <c r="C47" s="14">
        <v>0.87792</v>
      </c>
      <c r="D47" s="14">
        <v>-0.0186</v>
      </c>
      <c r="E47" s="14">
        <v>-0.483475</v>
      </c>
      <c r="F47" s="14">
        <v>-0.593895</v>
      </c>
      <c r="G47" s="14">
        <v>-0.735495</v>
      </c>
      <c r="H47" s="14">
        <v>1.322892</v>
      </c>
      <c r="I47" s="14">
        <v>-0.176539</v>
      </c>
      <c r="J47" s="14">
        <v>-0.48318</v>
      </c>
    </row>
    <row r="48" spans="1:10">
      <c r="A48" s="12" t="s">
        <v>189</v>
      </c>
      <c r="B48" s="14">
        <v>0.57563</v>
      </c>
      <c r="C48" s="14">
        <v>-0.28476</v>
      </c>
      <c r="D48" s="14">
        <v>0.1223</v>
      </c>
      <c r="E48" s="14">
        <v>0.70063</v>
      </c>
      <c r="F48" s="14">
        <v>2.555644</v>
      </c>
      <c r="G48" s="14">
        <v>-0.87002</v>
      </c>
      <c r="H48" s="14">
        <v>-0.189897</v>
      </c>
      <c r="I48" s="14">
        <v>-0.187982</v>
      </c>
      <c r="J48" s="14">
        <v>-0.47462</v>
      </c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1"/>
  <sheetViews>
    <sheetView workbookViewId="0">
      <selection activeCell="V160" sqref="V160"/>
    </sheetView>
  </sheetViews>
  <sheetFormatPr defaultColWidth="9" defaultRowHeight="14.5"/>
  <sheetData>
    <row r="1" spans="1:9">
      <c r="A1" t="s">
        <v>10</v>
      </c>
      <c r="B1" s="21">
        <f>IF($I1=1,1,0)</f>
        <v>0</v>
      </c>
      <c r="C1" s="21">
        <f>IF($I1=2,1,0)</f>
        <v>0</v>
      </c>
      <c r="D1" s="21">
        <f>IF($I1=3,1,0)</f>
        <v>1</v>
      </c>
      <c r="E1" s="21">
        <f>IF($I1=4,1,0)</f>
        <v>0</v>
      </c>
      <c r="F1" s="21">
        <f>IF($I1=5,1,0)</f>
        <v>0</v>
      </c>
      <c r="G1" s="21">
        <f>IF($I1=6,1,0)</f>
        <v>0</v>
      </c>
      <c r="H1" s="21">
        <f>IF($I1=7,1,0)</f>
        <v>0</v>
      </c>
      <c r="I1">
        <v>3</v>
      </c>
    </row>
    <row r="2" spans="1:9">
      <c r="A2" t="s">
        <v>11</v>
      </c>
      <c r="B2" s="21">
        <f t="shared" ref="B2:B65" si="0">IF($I2=1,1,0)</f>
        <v>0</v>
      </c>
      <c r="C2" s="21">
        <f t="shared" ref="C2:C65" si="1">IF($I2=2,1,0)</f>
        <v>0</v>
      </c>
      <c r="D2" s="21">
        <f t="shared" ref="D2:D65" si="2">IF($I2=3,1,0)</f>
        <v>1</v>
      </c>
      <c r="E2" s="21">
        <f t="shared" ref="E2:E65" si="3">IF($I2=4,1,0)</f>
        <v>0</v>
      </c>
      <c r="F2" s="21">
        <f t="shared" ref="F2:F65" si="4">IF($I2=5,1,0)</f>
        <v>0</v>
      </c>
      <c r="G2" s="21">
        <f t="shared" ref="G2:G65" si="5">IF($I2=6,1,0)</f>
        <v>0</v>
      </c>
      <c r="H2" s="21">
        <f t="shared" ref="H2:H65" si="6">IF($I2=7,1,0)</f>
        <v>0</v>
      </c>
      <c r="I2">
        <v>3</v>
      </c>
    </row>
    <row r="3" spans="1:9">
      <c r="A3" t="s">
        <v>12</v>
      </c>
      <c r="B3" s="21">
        <f t="shared" si="0"/>
        <v>0</v>
      </c>
      <c r="C3" s="21">
        <f t="shared" si="1"/>
        <v>0</v>
      </c>
      <c r="D3" s="21">
        <f t="shared" si="2"/>
        <v>0</v>
      </c>
      <c r="E3" s="21">
        <f t="shared" si="3"/>
        <v>1</v>
      </c>
      <c r="F3" s="21">
        <f t="shared" si="4"/>
        <v>0</v>
      </c>
      <c r="G3" s="21">
        <f t="shared" si="5"/>
        <v>0</v>
      </c>
      <c r="H3" s="21">
        <f t="shared" si="6"/>
        <v>0</v>
      </c>
      <c r="I3">
        <v>4</v>
      </c>
    </row>
    <row r="4" spans="1:9">
      <c r="A4" t="s">
        <v>13</v>
      </c>
      <c r="B4" s="21">
        <f t="shared" si="0"/>
        <v>0</v>
      </c>
      <c r="C4" s="21">
        <f t="shared" si="1"/>
        <v>0</v>
      </c>
      <c r="D4" s="21">
        <f t="shared" si="2"/>
        <v>1</v>
      </c>
      <c r="E4" s="21">
        <f t="shared" si="3"/>
        <v>0</v>
      </c>
      <c r="F4" s="21">
        <f t="shared" si="4"/>
        <v>0</v>
      </c>
      <c r="G4" s="21">
        <f t="shared" si="5"/>
        <v>0</v>
      </c>
      <c r="H4" s="21">
        <f t="shared" si="6"/>
        <v>0</v>
      </c>
      <c r="I4">
        <v>3</v>
      </c>
    </row>
    <row r="5" spans="1:9">
      <c r="A5" t="s">
        <v>14</v>
      </c>
      <c r="B5" s="21">
        <f t="shared" si="0"/>
        <v>0</v>
      </c>
      <c r="C5" s="21">
        <f t="shared" si="1"/>
        <v>0</v>
      </c>
      <c r="D5" s="21">
        <f t="shared" si="2"/>
        <v>1</v>
      </c>
      <c r="E5" s="21">
        <f t="shared" si="3"/>
        <v>0</v>
      </c>
      <c r="F5" s="21">
        <f t="shared" si="4"/>
        <v>0</v>
      </c>
      <c r="G5" s="21">
        <f t="shared" si="5"/>
        <v>0</v>
      </c>
      <c r="H5" s="21">
        <f t="shared" si="6"/>
        <v>0</v>
      </c>
      <c r="I5">
        <v>3</v>
      </c>
    </row>
    <row r="6" spans="1:9">
      <c r="A6" t="s">
        <v>15</v>
      </c>
      <c r="B6" s="21">
        <f t="shared" si="0"/>
        <v>0</v>
      </c>
      <c r="C6" s="21">
        <f t="shared" si="1"/>
        <v>0</v>
      </c>
      <c r="D6" s="21">
        <f t="shared" si="2"/>
        <v>1</v>
      </c>
      <c r="E6" s="21">
        <f t="shared" si="3"/>
        <v>0</v>
      </c>
      <c r="F6" s="21">
        <f t="shared" si="4"/>
        <v>0</v>
      </c>
      <c r="G6" s="21">
        <f t="shared" si="5"/>
        <v>0</v>
      </c>
      <c r="H6" s="21">
        <f t="shared" si="6"/>
        <v>0</v>
      </c>
      <c r="I6">
        <v>3</v>
      </c>
    </row>
    <row r="7" spans="1:9">
      <c r="A7" t="s">
        <v>16</v>
      </c>
      <c r="B7" s="21">
        <f t="shared" si="0"/>
        <v>0</v>
      </c>
      <c r="C7" s="21">
        <f t="shared" si="1"/>
        <v>0</v>
      </c>
      <c r="D7" s="21">
        <f t="shared" si="2"/>
        <v>1</v>
      </c>
      <c r="E7" s="21">
        <f t="shared" si="3"/>
        <v>0</v>
      </c>
      <c r="F7" s="21">
        <f t="shared" si="4"/>
        <v>0</v>
      </c>
      <c r="G7" s="21">
        <f t="shared" si="5"/>
        <v>0</v>
      </c>
      <c r="H7" s="21">
        <f t="shared" si="6"/>
        <v>0</v>
      </c>
      <c r="I7">
        <v>3</v>
      </c>
    </row>
    <row r="8" spans="1:9">
      <c r="A8" t="s">
        <v>17</v>
      </c>
      <c r="B8" s="21">
        <f t="shared" si="0"/>
        <v>0</v>
      </c>
      <c r="C8" s="21">
        <f t="shared" si="1"/>
        <v>0</v>
      </c>
      <c r="D8" s="21">
        <f t="shared" si="2"/>
        <v>1</v>
      </c>
      <c r="E8" s="21">
        <f t="shared" si="3"/>
        <v>0</v>
      </c>
      <c r="F8" s="21">
        <f t="shared" si="4"/>
        <v>0</v>
      </c>
      <c r="G8" s="21">
        <f t="shared" si="5"/>
        <v>0</v>
      </c>
      <c r="H8" s="21">
        <f t="shared" si="6"/>
        <v>0</v>
      </c>
      <c r="I8">
        <v>3</v>
      </c>
    </row>
    <row r="9" spans="1:9">
      <c r="A9" t="s">
        <v>18</v>
      </c>
      <c r="B9" s="21">
        <f t="shared" si="0"/>
        <v>0</v>
      </c>
      <c r="C9" s="21">
        <f t="shared" si="1"/>
        <v>0</v>
      </c>
      <c r="D9" s="21">
        <f t="shared" si="2"/>
        <v>1</v>
      </c>
      <c r="E9" s="21">
        <f t="shared" si="3"/>
        <v>0</v>
      </c>
      <c r="F9" s="21">
        <f t="shared" si="4"/>
        <v>0</v>
      </c>
      <c r="G9" s="21">
        <f t="shared" si="5"/>
        <v>0</v>
      </c>
      <c r="H9" s="21">
        <f t="shared" si="6"/>
        <v>0</v>
      </c>
      <c r="I9">
        <v>3</v>
      </c>
    </row>
    <row r="10" spans="1:9">
      <c r="A10" t="s">
        <v>19</v>
      </c>
      <c r="B10" s="21">
        <f t="shared" si="0"/>
        <v>0</v>
      </c>
      <c r="C10" s="21">
        <f t="shared" si="1"/>
        <v>0</v>
      </c>
      <c r="D10" s="21">
        <f t="shared" si="2"/>
        <v>1</v>
      </c>
      <c r="E10" s="21">
        <f t="shared" si="3"/>
        <v>0</v>
      </c>
      <c r="F10" s="21">
        <f t="shared" si="4"/>
        <v>0</v>
      </c>
      <c r="G10" s="21">
        <f t="shared" si="5"/>
        <v>0</v>
      </c>
      <c r="H10" s="21">
        <f t="shared" si="6"/>
        <v>0</v>
      </c>
      <c r="I10">
        <v>3</v>
      </c>
    </row>
    <row r="11" spans="1:9">
      <c r="A11" t="s">
        <v>20</v>
      </c>
      <c r="B11" s="21">
        <f t="shared" si="0"/>
        <v>0</v>
      </c>
      <c r="C11" s="21">
        <f t="shared" si="1"/>
        <v>0</v>
      </c>
      <c r="D11" s="21">
        <f t="shared" si="2"/>
        <v>0</v>
      </c>
      <c r="E11" s="21">
        <f t="shared" si="3"/>
        <v>0</v>
      </c>
      <c r="F11" s="21">
        <f t="shared" si="4"/>
        <v>1</v>
      </c>
      <c r="G11" s="21">
        <f t="shared" si="5"/>
        <v>0</v>
      </c>
      <c r="H11" s="21">
        <f t="shared" si="6"/>
        <v>0</v>
      </c>
      <c r="I11">
        <v>5</v>
      </c>
    </row>
    <row r="12" spans="1:9">
      <c r="A12" t="s">
        <v>21</v>
      </c>
      <c r="B12" s="21">
        <f t="shared" si="0"/>
        <v>0</v>
      </c>
      <c r="C12" s="21">
        <f t="shared" si="1"/>
        <v>0</v>
      </c>
      <c r="D12" s="21">
        <f t="shared" si="2"/>
        <v>0</v>
      </c>
      <c r="E12" s="21">
        <f t="shared" si="3"/>
        <v>0</v>
      </c>
      <c r="F12" s="21">
        <f t="shared" si="4"/>
        <v>0</v>
      </c>
      <c r="G12" s="21">
        <f t="shared" si="5"/>
        <v>1</v>
      </c>
      <c r="H12" s="21">
        <f t="shared" si="6"/>
        <v>0</v>
      </c>
      <c r="I12">
        <v>6</v>
      </c>
    </row>
    <row r="13" spans="1:9">
      <c r="A13" t="s">
        <v>22</v>
      </c>
      <c r="B13" s="21">
        <f t="shared" si="0"/>
        <v>0</v>
      </c>
      <c r="C13" s="21">
        <f t="shared" si="1"/>
        <v>0</v>
      </c>
      <c r="D13" s="21">
        <f t="shared" si="2"/>
        <v>0</v>
      </c>
      <c r="E13" s="21">
        <f t="shared" si="3"/>
        <v>0</v>
      </c>
      <c r="F13" s="21">
        <f t="shared" si="4"/>
        <v>0</v>
      </c>
      <c r="G13" s="21">
        <f t="shared" si="5"/>
        <v>1</v>
      </c>
      <c r="H13" s="21">
        <f t="shared" si="6"/>
        <v>0</v>
      </c>
      <c r="I13">
        <v>6</v>
      </c>
    </row>
    <row r="14" spans="1:9">
      <c r="A14" t="s">
        <v>23</v>
      </c>
      <c r="B14" s="21">
        <f t="shared" si="0"/>
        <v>0</v>
      </c>
      <c r="C14" s="21">
        <f t="shared" si="1"/>
        <v>0</v>
      </c>
      <c r="D14" s="21">
        <f t="shared" si="2"/>
        <v>1</v>
      </c>
      <c r="E14" s="21">
        <f t="shared" si="3"/>
        <v>0</v>
      </c>
      <c r="F14" s="21">
        <f t="shared" si="4"/>
        <v>0</v>
      </c>
      <c r="G14" s="21">
        <f t="shared" si="5"/>
        <v>0</v>
      </c>
      <c r="H14" s="21">
        <f t="shared" si="6"/>
        <v>0</v>
      </c>
      <c r="I14">
        <v>3</v>
      </c>
    </row>
    <row r="15" spans="1:9">
      <c r="A15" t="s">
        <v>24</v>
      </c>
      <c r="B15" s="21">
        <f t="shared" si="0"/>
        <v>0</v>
      </c>
      <c r="C15" s="21">
        <f t="shared" si="1"/>
        <v>0</v>
      </c>
      <c r="D15" s="21">
        <f t="shared" si="2"/>
        <v>1</v>
      </c>
      <c r="E15" s="21">
        <f t="shared" si="3"/>
        <v>0</v>
      </c>
      <c r="F15" s="21">
        <f t="shared" si="4"/>
        <v>0</v>
      </c>
      <c r="G15" s="21">
        <f t="shared" si="5"/>
        <v>0</v>
      </c>
      <c r="H15" s="21">
        <f t="shared" si="6"/>
        <v>0</v>
      </c>
      <c r="I15">
        <v>3</v>
      </c>
    </row>
    <row r="16" spans="1:9">
      <c r="A16" t="s">
        <v>25</v>
      </c>
      <c r="B16" s="21">
        <f t="shared" si="0"/>
        <v>0</v>
      </c>
      <c r="C16" s="21">
        <f t="shared" si="1"/>
        <v>1</v>
      </c>
      <c r="D16" s="21">
        <f t="shared" si="2"/>
        <v>0</v>
      </c>
      <c r="E16" s="21">
        <f t="shared" si="3"/>
        <v>0</v>
      </c>
      <c r="F16" s="21">
        <f t="shared" si="4"/>
        <v>0</v>
      </c>
      <c r="G16" s="21">
        <f t="shared" si="5"/>
        <v>0</v>
      </c>
      <c r="H16" s="21">
        <f t="shared" si="6"/>
        <v>0</v>
      </c>
      <c r="I16">
        <v>2</v>
      </c>
    </row>
    <row r="17" spans="1:9">
      <c r="A17" t="s">
        <v>26</v>
      </c>
      <c r="B17" s="21">
        <f t="shared" si="0"/>
        <v>0</v>
      </c>
      <c r="C17" s="21">
        <f t="shared" si="1"/>
        <v>0</v>
      </c>
      <c r="D17" s="21">
        <f t="shared" si="2"/>
        <v>1</v>
      </c>
      <c r="E17" s="21">
        <f t="shared" si="3"/>
        <v>0</v>
      </c>
      <c r="F17" s="21">
        <f t="shared" si="4"/>
        <v>0</v>
      </c>
      <c r="G17" s="21">
        <f t="shared" si="5"/>
        <v>0</v>
      </c>
      <c r="H17" s="21">
        <f t="shared" si="6"/>
        <v>0</v>
      </c>
      <c r="I17">
        <v>3</v>
      </c>
    </row>
    <row r="18" spans="1:9">
      <c r="A18" t="s">
        <v>27</v>
      </c>
      <c r="B18" s="21">
        <f t="shared" si="0"/>
        <v>0</v>
      </c>
      <c r="C18" s="21">
        <f t="shared" si="1"/>
        <v>0</v>
      </c>
      <c r="D18" s="21">
        <f t="shared" si="2"/>
        <v>0</v>
      </c>
      <c r="E18" s="21">
        <f t="shared" si="3"/>
        <v>0</v>
      </c>
      <c r="F18" s="21">
        <f t="shared" si="4"/>
        <v>1</v>
      </c>
      <c r="G18" s="21">
        <f t="shared" si="5"/>
        <v>0</v>
      </c>
      <c r="H18" s="21">
        <f t="shared" si="6"/>
        <v>0</v>
      </c>
      <c r="I18">
        <v>5</v>
      </c>
    </row>
    <row r="19" spans="1:9">
      <c r="A19" t="s">
        <v>28</v>
      </c>
      <c r="B19" s="21">
        <f t="shared" si="0"/>
        <v>0</v>
      </c>
      <c r="C19" s="21">
        <f t="shared" si="1"/>
        <v>0</v>
      </c>
      <c r="D19" s="21">
        <f t="shared" si="2"/>
        <v>0</v>
      </c>
      <c r="E19" s="21">
        <f t="shared" si="3"/>
        <v>1</v>
      </c>
      <c r="F19" s="21">
        <f t="shared" si="4"/>
        <v>0</v>
      </c>
      <c r="G19" s="21">
        <f t="shared" si="5"/>
        <v>0</v>
      </c>
      <c r="H19" s="21">
        <f t="shared" si="6"/>
        <v>0</v>
      </c>
      <c r="I19">
        <v>4</v>
      </c>
    </row>
    <row r="20" spans="1:9">
      <c r="A20" t="s">
        <v>29</v>
      </c>
      <c r="B20" s="21">
        <f t="shared" si="0"/>
        <v>0</v>
      </c>
      <c r="C20" s="21">
        <f t="shared" si="1"/>
        <v>1</v>
      </c>
      <c r="D20" s="21">
        <f t="shared" si="2"/>
        <v>0</v>
      </c>
      <c r="E20" s="21">
        <f t="shared" si="3"/>
        <v>0</v>
      </c>
      <c r="F20" s="21">
        <f t="shared" si="4"/>
        <v>0</v>
      </c>
      <c r="G20" s="21">
        <f t="shared" si="5"/>
        <v>0</v>
      </c>
      <c r="H20" s="21">
        <f t="shared" si="6"/>
        <v>0</v>
      </c>
      <c r="I20">
        <v>2</v>
      </c>
    </row>
    <row r="21" spans="1:9">
      <c r="A21" t="s">
        <v>30</v>
      </c>
      <c r="B21" s="21">
        <f t="shared" si="0"/>
        <v>0</v>
      </c>
      <c r="C21" s="21">
        <f t="shared" si="1"/>
        <v>0</v>
      </c>
      <c r="D21" s="21">
        <f t="shared" si="2"/>
        <v>1</v>
      </c>
      <c r="E21" s="21">
        <f t="shared" si="3"/>
        <v>0</v>
      </c>
      <c r="F21" s="21">
        <f t="shared" si="4"/>
        <v>0</v>
      </c>
      <c r="G21" s="21">
        <f t="shared" si="5"/>
        <v>0</v>
      </c>
      <c r="H21" s="21">
        <f t="shared" si="6"/>
        <v>0</v>
      </c>
      <c r="I21">
        <v>3</v>
      </c>
    </row>
    <row r="22" spans="1:9">
      <c r="A22" t="s">
        <v>31</v>
      </c>
      <c r="B22" s="21">
        <f t="shared" si="0"/>
        <v>0</v>
      </c>
      <c r="C22" s="21">
        <f t="shared" si="1"/>
        <v>0</v>
      </c>
      <c r="D22" s="21">
        <f t="shared" si="2"/>
        <v>1</v>
      </c>
      <c r="E22" s="21">
        <f t="shared" si="3"/>
        <v>0</v>
      </c>
      <c r="F22" s="21">
        <f t="shared" si="4"/>
        <v>0</v>
      </c>
      <c r="G22" s="21">
        <f t="shared" si="5"/>
        <v>0</v>
      </c>
      <c r="H22" s="21">
        <f t="shared" si="6"/>
        <v>0</v>
      </c>
      <c r="I22">
        <v>3</v>
      </c>
    </row>
    <row r="23" spans="1:9">
      <c r="A23" t="s">
        <v>32</v>
      </c>
      <c r="B23" s="21">
        <f t="shared" si="0"/>
        <v>0</v>
      </c>
      <c r="C23" s="21">
        <f t="shared" si="1"/>
        <v>0</v>
      </c>
      <c r="D23" s="21">
        <f t="shared" si="2"/>
        <v>1</v>
      </c>
      <c r="E23" s="21">
        <f t="shared" si="3"/>
        <v>0</v>
      </c>
      <c r="F23" s="21">
        <f t="shared" si="4"/>
        <v>0</v>
      </c>
      <c r="G23" s="21">
        <f t="shared" si="5"/>
        <v>0</v>
      </c>
      <c r="H23" s="21">
        <f t="shared" si="6"/>
        <v>0</v>
      </c>
      <c r="I23">
        <v>3</v>
      </c>
    </row>
    <row r="24" spans="1:9">
      <c r="A24" t="s">
        <v>33</v>
      </c>
      <c r="B24" s="21">
        <f t="shared" si="0"/>
        <v>0</v>
      </c>
      <c r="C24" s="21">
        <f t="shared" si="1"/>
        <v>0</v>
      </c>
      <c r="D24" s="21">
        <f t="shared" si="2"/>
        <v>0</v>
      </c>
      <c r="E24" s="21">
        <f t="shared" si="3"/>
        <v>0</v>
      </c>
      <c r="F24" s="21">
        <f t="shared" si="4"/>
        <v>1</v>
      </c>
      <c r="G24" s="21">
        <f t="shared" si="5"/>
        <v>0</v>
      </c>
      <c r="H24" s="21">
        <f t="shared" si="6"/>
        <v>0</v>
      </c>
      <c r="I24">
        <v>5</v>
      </c>
    </row>
    <row r="25" spans="1:9">
      <c r="A25" t="s">
        <v>34</v>
      </c>
      <c r="B25" s="21">
        <f t="shared" si="0"/>
        <v>0</v>
      </c>
      <c r="C25" s="21">
        <f t="shared" si="1"/>
        <v>0</v>
      </c>
      <c r="D25" s="21">
        <f t="shared" si="2"/>
        <v>1</v>
      </c>
      <c r="E25" s="21">
        <f t="shared" si="3"/>
        <v>0</v>
      </c>
      <c r="F25" s="21">
        <f t="shared" si="4"/>
        <v>0</v>
      </c>
      <c r="G25" s="21">
        <f t="shared" si="5"/>
        <v>0</v>
      </c>
      <c r="H25" s="21">
        <f t="shared" si="6"/>
        <v>0</v>
      </c>
      <c r="I25">
        <v>3</v>
      </c>
    </row>
    <row r="26" spans="1:9">
      <c r="A26" t="s">
        <v>35</v>
      </c>
      <c r="B26" s="21">
        <f t="shared" si="0"/>
        <v>0</v>
      </c>
      <c r="C26" s="21">
        <f t="shared" si="1"/>
        <v>0</v>
      </c>
      <c r="D26" s="21">
        <f t="shared" si="2"/>
        <v>1</v>
      </c>
      <c r="E26" s="21">
        <f t="shared" si="3"/>
        <v>0</v>
      </c>
      <c r="F26" s="21">
        <f t="shared" si="4"/>
        <v>0</v>
      </c>
      <c r="G26" s="21">
        <f t="shared" si="5"/>
        <v>0</v>
      </c>
      <c r="H26" s="21">
        <f t="shared" si="6"/>
        <v>0</v>
      </c>
      <c r="I26">
        <v>3</v>
      </c>
    </row>
    <row r="27" spans="1:9">
      <c r="A27" t="s">
        <v>36</v>
      </c>
      <c r="B27" s="21">
        <f t="shared" si="0"/>
        <v>0</v>
      </c>
      <c r="C27" s="21">
        <f t="shared" si="1"/>
        <v>0</v>
      </c>
      <c r="D27" s="21">
        <f t="shared" si="2"/>
        <v>1</v>
      </c>
      <c r="E27" s="21">
        <f t="shared" si="3"/>
        <v>0</v>
      </c>
      <c r="F27" s="21">
        <f t="shared" si="4"/>
        <v>0</v>
      </c>
      <c r="G27" s="21">
        <f t="shared" si="5"/>
        <v>0</v>
      </c>
      <c r="H27" s="21">
        <f t="shared" si="6"/>
        <v>0</v>
      </c>
      <c r="I27">
        <v>3</v>
      </c>
    </row>
    <row r="28" spans="1:9">
      <c r="A28" t="s">
        <v>37</v>
      </c>
      <c r="B28" s="21">
        <f t="shared" si="0"/>
        <v>0</v>
      </c>
      <c r="C28" s="21">
        <f t="shared" si="1"/>
        <v>0</v>
      </c>
      <c r="D28" s="21">
        <f t="shared" si="2"/>
        <v>0</v>
      </c>
      <c r="E28" s="21">
        <f t="shared" si="3"/>
        <v>0</v>
      </c>
      <c r="F28" s="21">
        <f t="shared" si="4"/>
        <v>1</v>
      </c>
      <c r="G28" s="21">
        <f t="shared" si="5"/>
        <v>0</v>
      </c>
      <c r="H28" s="21">
        <f t="shared" si="6"/>
        <v>0</v>
      </c>
      <c r="I28">
        <v>5</v>
      </c>
    </row>
    <row r="29" spans="1:9">
      <c r="A29" t="s">
        <v>38</v>
      </c>
      <c r="B29" s="21">
        <f t="shared" si="0"/>
        <v>0</v>
      </c>
      <c r="C29" s="21">
        <f t="shared" si="1"/>
        <v>0</v>
      </c>
      <c r="D29" s="21">
        <f t="shared" si="2"/>
        <v>1</v>
      </c>
      <c r="E29" s="21">
        <f t="shared" si="3"/>
        <v>0</v>
      </c>
      <c r="F29" s="21">
        <f t="shared" si="4"/>
        <v>0</v>
      </c>
      <c r="G29" s="21">
        <f t="shared" si="5"/>
        <v>0</v>
      </c>
      <c r="H29" s="21">
        <f t="shared" si="6"/>
        <v>0</v>
      </c>
      <c r="I29">
        <v>3</v>
      </c>
    </row>
    <row r="30" spans="1:9">
      <c r="A30" t="s">
        <v>39</v>
      </c>
      <c r="B30" s="21">
        <f t="shared" si="0"/>
        <v>0</v>
      </c>
      <c r="C30" s="21">
        <f t="shared" si="1"/>
        <v>0</v>
      </c>
      <c r="D30" s="21">
        <f t="shared" si="2"/>
        <v>0</v>
      </c>
      <c r="E30" s="21">
        <f t="shared" si="3"/>
        <v>1</v>
      </c>
      <c r="F30" s="21">
        <f t="shared" si="4"/>
        <v>0</v>
      </c>
      <c r="G30" s="21">
        <f t="shared" si="5"/>
        <v>0</v>
      </c>
      <c r="H30" s="21">
        <f t="shared" si="6"/>
        <v>0</v>
      </c>
      <c r="I30">
        <v>4</v>
      </c>
    </row>
    <row r="31" spans="1:9">
      <c r="A31" t="s">
        <v>40</v>
      </c>
      <c r="B31" s="21">
        <f t="shared" si="0"/>
        <v>0</v>
      </c>
      <c r="C31" s="21">
        <f t="shared" si="1"/>
        <v>0</v>
      </c>
      <c r="D31" s="21">
        <f t="shared" si="2"/>
        <v>0</v>
      </c>
      <c r="E31" s="21">
        <f t="shared" si="3"/>
        <v>0</v>
      </c>
      <c r="F31" s="21">
        <f t="shared" si="4"/>
        <v>1</v>
      </c>
      <c r="G31" s="21">
        <f t="shared" si="5"/>
        <v>0</v>
      </c>
      <c r="H31" s="21">
        <f t="shared" si="6"/>
        <v>0</v>
      </c>
      <c r="I31">
        <v>5</v>
      </c>
    </row>
    <row r="32" spans="1:9">
      <c r="A32" t="s">
        <v>41</v>
      </c>
      <c r="B32" s="21">
        <f t="shared" si="0"/>
        <v>0</v>
      </c>
      <c r="C32" s="21">
        <f t="shared" si="1"/>
        <v>0</v>
      </c>
      <c r="D32" s="21">
        <f t="shared" si="2"/>
        <v>0</v>
      </c>
      <c r="E32" s="21">
        <f t="shared" si="3"/>
        <v>1</v>
      </c>
      <c r="F32" s="21">
        <f t="shared" si="4"/>
        <v>0</v>
      </c>
      <c r="G32" s="21">
        <f t="shared" si="5"/>
        <v>0</v>
      </c>
      <c r="H32" s="21">
        <f t="shared" si="6"/>
        <v>0</v>
      </c>
      <c r="I32">
        <v>4</v>
      </c>
    </row>
    <row r="33" spans="1:9">
      <c r="A33" t="s">
        <v>42</v>
      </c>
      <c r="B33" s="21">
        <f t="shared" si="0"/>
        <v>0</v>
      </c>
      <c r="C33" s="21">
        <f t="shared" si="1"/>
        <v>0</v>
      </c>
      <c r="D33" s="21">
        <f t="shared" si="2"/>
        <v>0</v>
      </c>
      <c r="E33" s="21">
        <f t="shared" si="3"/>
        <v>0</v>
      </c>
      <c r="F33" s="21">
        <f t="shared" si="4"/>
        <v>0</v>
      </c>
      <c r="G33" s="21">
        <f t="shared" si="5"/>
        <v>0</v>
      </c>
      <c r="H33" s="21">
        <f t="shared" si="6"/>
        <v>1</v>
      </c>
      <c r="I33">
        <v>7</v>
      </c>
    </row>
    <row r="34" spans="1:9">
      <c r="A34" t="s">
        <v>43</v>
      </c>
      <c r="B34" s="21">
        <f t="shared" si="0"/>
        <v>0</v>
      </c>
      <c r="C34" s="21">
        <f t="shared" si="1"/>
        <v>0</v>
      </c>
      <c r="D34" s="21">
        <f t="shared" si="2"/>
        <v>1</v>
      </c>
      <c r="E34" s="21">
        <f t="shared" si="3"/>
        <v>0</v>
      </c>
      <c r="F34" s="21">
        <f t="shared" si="4"/>
        <v>0</v>
      </c>
      <c r="G34" s="21">
        <f t="shared" si="5"/>
        <v>0</v>
      </c>
      <c r="H34" s="21">
        <f t="shared" si="6"/>
        <v>0</v>
      </c>
      <c r="I34">
        <v>3</v>
      </c>
    </row>
    <row r="35" spans="1:9">
      <c r="A35" t="s">
        <v>44</v>
      </c>
      <c r="B35" s="21">
        <f t="shared" si="0"/>
        <v>0</v>
      </c>
      <c r="C35" s="21">
        <f t="shared" si="1"/>
        <v>0</v>
      </c>
      <c r="D35" s="21">
        <f t="shared" si="2"/>
        <v>1</v>
      </c>
      <c r="E35" s="21">
        <f t="shared" si="3"/>
        <v>0</v>
      </c>
      <c r="F35" s="21">
        <f t="shared" si="4"/>
        <v>0</v>
      </c>
      <c r="G35" s="21">
        <f t="shared" si="5"/>
        <v>0</v>
      </c>
      <c r="H35" s="21">
        <f t="shared" si="6"/>
        <v>0</v>
      </c>
      <c r="I35">
        <v>3</v>
      </c>
    </row>
    <row r="36" spans="1:9">
      <c r="A36" t="s">
        <v>45</v>
      </c>
      <c r="B36" s="21">
        <f t="shared" si="0"/>
        <v>0</v>
      </c>
      <c r="C36" s="21">
        <f t="shared" si="1"/>
        <v>0</v>
      </c>
      <c r="D36" s="21">
        <f t="shared" si="2"/>
        <v>1</v>
      </c>
      <c r="E36" s="21">
        <f t="shared" si="3"/>
        <v>0</v>
      </c>
      <c r="F36" s="21">
        <f t="shared" si="4"/>
        <v>0</v>
      </c>
      <c r="G36" s="21">
        <f t="shared" si="5"/>
        <v>0</v>
      </c>
      <c r="H36" s="21">
        <f t="shared" si="6"/>
        <v>0</v>
      </c>
      <c r="I36">
        <v>3</v>
      </c>
    </row>
    <row r="37" spans="1:9">
      <c r="A37" t="s">
        <v>46</v>
      </c>
      <c r="B37" s="21">
        <f t="shared" si="0"/>
        <v>0</v>
      </c>
      <c r="C37" s="21">
        <f t="shared" si="1"/>
        <v>0</v>
      </c>
      <c r="D37" s="21">
        <f t="shared" si="2"/>
        <v>0</v>
      </c>
      <c r="E37" s="21">
        <f t="shared" si="3"/>
        <v>0</v>
      </c>
      <c r="F37" s="21">
        <f t="shared" si="4"/>
        <v>0</v>
      </c>
      <c r="G37" s="21">
        <f t="shared" si="5"/>
        <v>1</v>
      </c>
      <c r="H37" s="21">
        <f t="shared" si="6"/>
        <v>0</v>
      </c>
      <c r="I37">
        <v>6</v>
      </c>
    </row>
    <row r="38" spans="1:9">
      <c r="A38" t="s">
        <v>47</v>
      </c>
      <c r="B38" s="21">
        <f t="shared" si="0"/>
        <v>0</v>
      </c>
      <c r="C38" s="21">
        <f t="shared" si="1"/>
        <v>0</v>
      </c>
      <c r="D38" s="21">
        <f t="shared" si="2"/>
        <v>1</v>
      </c>
      <c r="E38" s="21">
        <f t="shared" si="3"/>
        <v>0</v>
      </c>
      <c r="F38" s="21">
        <f t="shared" si="4"/>
        <v>0</v>
      </c>
      <c r="G38" s="21">
        <f t="shared" si="5"/>
        <v>0</v>
      </c>
      <c r="H38" s="21">
        <f t="shared" si="6"/>
        <v>0</v>
      </c>
      <c r="I38">
        <v>3</v>
      </c>
    </row>
    <row r="39" spans="1:9">
      <c r="A39" t="s">
        <v>48</v>
      </c>
      <c r="B39" s="21">
        <f t="shared" si="0"/>
        <v>0</v>
      </c>
      <c r="C39" s="21">
        <f t="shared" si="1"/>
        <v>0</v>
      </c>
      <c r="D39" s="21">
        <f t="shared" si="2"/>
        <v>1</v>
      </c>
      <c r="E39" s="21">
        <f t="shared" si="3"/>
        <v>0</v>
      </c>
      <c r="F39" s="21">
        <f t="shared" si="4"/>
        <v>0</v>
      </c>
      <c r="G39" s="21">
        <f t="shared" si="5"/>
        <v>0</v>
      </c>
      <c r="H39" s="21">
        <f t="shared" si="6"/>
        <v>0</v>
      </c>
      <c r="I39">
        <v>3</v>
      </c>
    </row>
    <row r="40" spans="1:9">
      <c r="A40" t="s">
        <v>49</v>
      </c>
      <c r="B40" s="21">
        <f t="shared" si="0"/>
        <v>0</v>
      </c>
      <c r="C40" s="21">
        <f t="shared" si="1"/>
        <v>0</v>
      </c>
      <c r="D40" s="21">
        <f t="shared" si="2"/>
        <v>1</v>
      </c>
      <c r="E40" s="21">
        <f t="shared" si="3"/>
        <v>0</v>
      </c>
      <c r="F40" s="21">
        <f t="shared" si="4"/>
        <v>0</v>
      </c>
      <c r="G40" s="21">
        <f t="shared" si="5"/>
        <v>0</v>
      </c>
      <c r="H40" s="21">
        <f t="shared" si="6"/>
        <v>0</v>
      </c>
      <c r="I40">
        <v>3</v>
      </c>
    </row>
    <row r="41" spans="1:9">
      <c r="A41" t="s">
        <v>50</v>
      </c>
      <c r="B41" s="21">
        <f t="shared" si="0"/>
        <v>0</v>
      </c>
      <c r="C41" s="21">
        <f t="shared" si="1"/>
        <v>0</v>
      </c>
      <c r="D41" s="21">
        <f t="shared" si="2"/>
        <v>1</v>
      </c>
      <c r="E41" s="21">
        <f t="shared" si="3"/>
        <v>0</v>
      </c>
      <c r="F41" s="21">
        <f t="shared" si="4"/>
        <v>0</v>
      </c>
      <c r="G41" s="21">
        <f t="shared" si="5"/>
        <v>0</v>
      </c>
      <c r="H41" s="21">
        <f t="shared" si="6"/>
        <v>0</v>
      </c>
      <c r="I41">
        <v>3</v>
      </c>
    </row>
    <row r="42" spans="1:9">
      <c r="A42" t="s">
        <v>51</v>
      </c>
      <c r="B42" s="21">
        <f t="shared" si="0"/>
        <v>0</v>
      </c>
      <c r="C42" s="21">
        <f t="shared" si="1"/>
        <v>0</v>
      </c>
      <c r="D42" s="21">
        <f t="shared" si="2"/>
        <v>1</v>
      </c>
      <c r="E42" s="21">
        <f t="shared" si="3"/>
        <v>0</v>
      </c>
      <c r="F42" s="21">
        <f t="shared" si="4"/>
        <v>0</v>
      </c>
      <c r="G42" s="21">
        <f t="shared" si="5"/>
        <v>0</v>
      </c>
      <c r="H42" s="21">
        <f t="shared" si="6"/>
        <v>0</v>
      </c>
      <c r="I42">
        <v>3</v>
      </c>
    </row>
    <row r="43" spans="1:9">
      <c r="A43" t="s">
        <v>52</v>
      </c>
      <c r="B43" s="21">
        <f t="shared" si="0"/>
        <v>0</v>
      </c>
      <c r="C43" s="21">
        <f t="shared" si="1"/>
        <v>0</v>
      </c>
      <c r="D43" s="21">
        <f t="shared" si="2"/>
        <v>1</v>
      </c>
      <c r="E43" s="21">
        <f t="shared" si="3"/>
        <v>0</v>
      </c>
      <c r="F43" s="21">
        <f t="shared" si="4"/>
        <v>0</v>
      </c>
      <c r="G43" s="21">
        <f t="shared" si="5"/>
        <v>0</v>
      </c>
      <c r="H43" s="21">
        <f t="shared" si="6"/>
        <v>0</v>
      </c>
      <c r="I43">
        <v>3</v>
      </c>
    </row>
    <row r="44" spans="1:9">
      <c r="A44" t="s">
        <v>53</v>
      </c>
      <c r="B44" s="21">
        <f t="shared" si="0"/>
        <v>0</v>
      </c>
      <c r="C44" s="21">
        <f t="shared" si="1"/>
        <v>1</v>
      </c>
      <c r="D44" s="21">
        <f t="shared" si="2"/>
        <v>0</v>
      </c>
      <c r="E44" s="21">
        <f t="shared" si="3"/>
        <v>0</v>
      </c>
      <c r="F44" s="21">
        <f t="shared" si="4"/>
        <v>0</v>
      </c>
      <c r="G44" s="21">
        <f t="shared" si="5"/>
        <v>0</v>
      </c>
      <c r="H44" s="21">
        <f t="shared" si="6"/>
        <v>0</v>
      </c>
      <c r="I44">
        <v>2</v>
      </c>
    </row>
    <row r="45" spans="1:9">
      <c r="A45" t="s">
        <v>54</v>
      </c>
      <c r="B45" s="21">
        <f t="shared" si="0"/>
        <v>0</v>
      </c>
      <c r="C45" s="21">
        <f t="shared" si="1"/>
        <v>0</v>
      </c>
      <c r="D45" s="21">
        <f t="shared" si="2"/>
        <v>0</v>
      </c>
      <c r="E45" s="21">
        <f t="shared" si="3"/>
        <v>0</v>
      </c>
      <c r="F45" s="21">
        <f t="shared" si="4"/>
        <v>0</v>
      </c>
      <c r="G45" s="21">
        <f t="shared" si="5"/>
        <v>1</v>
      </c>
      <c r="H45" s="21">
        <f t="shared" si="6"/>
        <v>0</v>
      </c>
      <c r="I45">
        <v>6</v>
      </c>
    </row>
    <row r="46" spans="1:9">
      <c r="A46" t="s">
        <v>55</v>
      </c>
      <c r="B46" s="21">
        <f t="shared" si="0"/>
        <v>0</v>
      </c>
      <c r="C46" s="21">
        <f t="shared" si="1"/>
        <v>0</v>
      </c>
      <c r="D46" s="21">
        <f t="shared" si="2"/>
        <v>1</v>
      </c>
      <c r="E46" s="21">
        <f t="shared" si="3"/>
        <v>0</v>
      </c>
      <c r="F46" s="21">
        <f t="shared" si="4"/>
        <v>0</v>
      </c>
      <c r="G46" s="21">
        <f t="shared" si="5"/>
        <v>0</v>
      </c>
      <c r="H46" s="21">
        <f t="shared" si="6"/>
        <v>0</v>
      </c>
      <c r="I46">
        <v>3</v>
      </c>
    </row>
    <row r="47" spans="1:9">
      <c r="A47" t="s">
        <v>56</v>
      </c>
      <c r="B47" s="21">
        <f t="shared" si="0"/>
        <v>0</v>
      </c>
      <c r="C47" s="21">
        <f t="shared" si="1"/>
        <v>0</v>
      </c>
      <c r="D47" s="21">
        <f t="shared" si="2"/>
        <v>1</v>
      </c>
      <c r="E47" s="21">
        <f t="shared" si="3"/>
        <v>0</v>
      </c>
      <c r="F47" s="21">
        <f t="shared" si="4"/>
        <v>0</v>
      </c>
      <c r="G47" s="21">
        <f t="shared" si="5"/>
        <v>0</v>
      </c>
      <c r="H47" s="21">
        <f t="shared" si="6"/>
        <v>0</v>
      </c>
      <c r="I47">
        <v>3</v>
      </c>
    </row>
    <row r="48" spans="1:9">
      <c r="A48" t="s">
        <v>57</v>
      </c>
      <c r="B48" s="21">
        <f t="shared" si="0"/>
        <v>0</v>
      </c>
      <c r="C48" s="21">
        <f t="shared" si="1"/>
        <v>1</v>
      </c>
      <c r="D48" s="21">
        <f t="shared" si="2"/>
        <v>0</v>
      </c>
      <c r="E48" s="21">
        <f t="shared" si="3"/>
        <v>0</v>
      </c>
      <c r="F48" s="21">
        <f t="shared" si="4"/>
        <v>0</v>
      </c>
      <c r="G48" s="21">
        <f t="shared" si="5"/>
        <v>0</v>
      </c>
      <c r="H48" s="21">
        <f t="shared" si="6"/>
        <v>0</v>
      </c>
      <c r="I48">
        <v>2</v>
      </c>
    </row>
    <row r="49" spans="1:9">
      <c r="A49" t="s">
        <v>58</v>
      </c>
      <c r="B49" s="21">
        <f t="shared" si="0"/>
        <v>1</v>
      </c>
      <c r="C49" s="21">
        <f t="shared" si="1"/>
        <v>0</v>
      </c>
      <c r="D49" s="21">
        <f t="shared" si="2"/>
        <v>0</v>
      </c>
      <c r="E49" s="21">
        <f t="shared" si="3"/>
        <v>0</v>
      </c>
      <c r="F49" s="21">
        <f t="shared" si="4"/>
        <v>0</v>
      </c>
      <c r="G49" s="21">
        <f t="shared" si="5"/>
        <v>0</v>
      </c>
      <c r="H49" s="21">
        <f t="shared" si="6"/>
        <v>0</v>
      </c>
      <c r="I49">
        <v>1</v>
      </c>
    </row>
    <row r="50" spans="1:9">
      <c r="A50" t="s">
        <v>59</v>
      </c>
      <c r="B50" s="21">
        <f t="shared" si="0"/>
        <v>0</v>
      </c>
      <c r="C50" s="21">
        <f t="shared" si="1"/>
        <v>1</v>
      </c>
      <c r="D50" s="21">
        <f t="shared" si="2"/>
        <v>0</v>
      </c>
      <c r="E50" s="21">
        <f t="shared" si="3"/>
        <v>0</v>
      </c>
      <c r="F50" s="21">
        <f t="shared" si="4"/>
        <v>0</v>
      </c>
      <c r="G50" s="21">
        <f t="shared" si="5"/>
        <v>0</v>
      </c>
      <c r="H50" s="21">
        <f t="shared" si="6"/>
        <v>0</v>
      </c>
      <c r="I50">
        <v>2</v>
      </c>
    </row>
    <row r="51" spans="1:9">
      <c r="A51" t="s">
        <v>60</v>
      </c>
      <c r="B51" s="21">
        <f t="shared" si="0"/>
        <v>0</v>
      </c>
      <c r="C51" s="21">
        <f t="shared" si="1"/>
        <v>0</v>
      </c>
      <c r="D51" s="21">
        <f t="shared" si="2"/>
        <v>0</v>
      </c>
      <c r="E51" s="21">
        <f t="shared" si="3"/>
        <v>1</v>
      </c>
      <c r="F51" s="21">
        <f t="shared" si="4"/>
        <v>0</v>
      </c>
      <c r="G51" s="21">
        <f t="shared" si="5"/>
        <v>0</v>
      </c>
      <c r="H51" s="21">
        <f t="shared" si="6"/>
        <v>0</v>
      </c>
      <c r="I51">
        <v>4</v>
      </c>
    </row>
    <row r="52" spans="1:9">
      <c r="A52" t="s">
        <v>61</v>
      </c>
      <c r="B52" s="21">
        <f t="shared" si="0"/>
        <v>0</v>
      </c>
      <c r="C52" s="21">
        <f t="shared" si="1"/>
        <v>0</v>
      </c>
      <c r="D52" s="21">
        <f t="shared" si="2"/>
        <v>0</v>
      </c>
      <c r="E52" s="21">
        <f t="shared" si="3"/>
        <v>1</v>
      </c>
      <c r="F52" s="21">
        <f t="shared" si="4"/>
        <v>0</v>
      </c>
      <c r="G52" s="21">
        <f t="shared" si="5"/>
        <v>0</v>
      </c>
      <c r="H52" s="21">
        <f t="shared" si="6"/>
        <v>0</v>
      </c>
      <c r="I52">
        <v>4</v>
      </c>
    </row>
    <row r="53" spans="1:9">
      <c r="A53" t="s">
        <v>62</v>
      </c>
      <c r="B53" s="21">
        <f t="shared" si="0"/>
        <v>0</v>
      </c>
      <c r="C53" s="21">
        <f t="shared" si="1"/>
        <v>0</v>
      </c>
      <c r="D53" s="21">
        <f t="shared" si="2"/>
        <v>1</v>
      </c>
      <c r="E53" s="21">
        <f t="shared" si="3"/>
        <v>0</v>
      </c>
      <c r="F53" s="21">
        <f t="shared" si="4"/>
        <v>0</v>
      </c>
      <c r="G53" s="21">
        <f t="shared" si="5"/>
        <v>0</v>
      </c>
      <c r="H53" s="21">
        <f t="shared" si="6"/>
        <v>0</v>
      </c>
      <c r="I53">
        <v>3</v>
      </c>
    </row>
    <row r="54" spans="1:9">
      <c r="A54" t="s">
        <v>63</v>
      </c>
      <c r="B54" s="21">
        <f t="shared" si="0"/>
        <v>0</v>
      </c>
      <c r="C54" s="21">
        <f t="shared" si="1"/>
        <v>0</v>
      </c>
      <c r="D54" s="21">
        <f t="shared" si="2"/>
        <v>1</v>
      </c>
      <c r="E54" s="21">
        <f t="shared" si="3"/>
        <v>0</v>
      </c>
      <c r="F54" s="21">
        <f t="shared" si="4"/>
        <v>0</v>
      </c>
      <c r="G54" s="21">
        <f t="shared" si="5"/>
        <v>0</v>
      </c>
      <c r="H54" s="21">
        <f t="shared" si="6"/>
        <v>0</v>
      </c>
      <c r="I54">
        <v>3</v>
      </c>
    </row>
    <row r="55" spans="1:9">
      <c r="A55" t="s">
        <v>64</v>
      </c>
      <c r="B55" s="21">
        <f t="shared" si="0"/>
        <v>0</v>
      </c>
      <c r="C55" s="21">
        <f t="shared" si="1"/>
        <v>0</v>
      </c>
      <c r="D55" s="21">
        <f t="shared" si="2"/>
        <v>1</v>
      </c>
      <c r="E55" s="21">
        <f t="shared" si="3"/>
        <v>0</v>
      </c>
      <c r="F55" s="21">
        <f t="shared" si="4"/>
        <v>0</v>
      </c>
      <c r="G55" s="21">
        <f t="shared" si="5"/>
        <v>0</v>
      </c>
      <c r="H55" s="21">
        <f t="shared" si="6"/>
        <v>0</v>
      </c>
      <c r="I55">
        <v>3</v>
      </c>
    </row>
    <row r="56" spans="1:9">
      <c r="A56" t="s">
        <v>65</v>
      </c>
      <c r="B56" s="21">
        <f t="shared" si="0"/>
        <v>0</v>
      </c>
      <c r="C56" s="21">
        <f t="shared" si="1"/>
        <v>0</v>
      </c>
      <c r="D56" s="21">
        <f t="shared" si="2"/>
        <v>0</v>
      </c>
      <c r="E56" s="21">
        <f t="shared" si="3"/>
        <v>1</v>
      </c>
      <c r="F56" s="21">
        <f t="shared" si="4"/>
        <v>0</v>
      </c>
      <c r="G56" s="21">
        <f t="shared" si="5"/>
        <v>0</v>
      </c>
      <c r="H56" s="21">
        <f t="shared" si="6"/>
        <v>0</v>
      </c>
      <c r="I56">
        <v>4</v>
      </c>
    </row>
    <row r="57" spans="1:9">
      <c r="A57" t="s">
        <v>66</v>
      </c>
      <c r="B57" s="21">
        <f t="shared" si="0"/>
        <v>0</v>
      </c>
      <c r="C57" s="21">
        <f t="shared" si="1"/>
        <v>1</v>
      </c>
      <c r="D57" s="21">
        <f t="shared" si="2"/>
        <v>0</v>
      </c>
      <c r="E57" s="21">
        <f t="shared" si="3"/>
        <v>0</v>
      </c>
      <c r="F57" s="21">
        <f t="shared" si="4"/>
        <v>0</v>
      </c>
      <c r="G57" s="21">
        <f t="shared" si="5"/>
        <v>0</v>
      </c>
      <c r="H57" s="21">
        <f t="shared" si="6"/>
        <v>0</v>
      </c>
      <c r="I57">
        <v>2</v>
      </c>
    </row>
    <row r="58" spans="1:9">
      <c r="A58" t="s">
        <v>67</v>
      </c>
      <c r="B58" s="21">
        <f t="shared" si="0"/>
        <v>0</v>
      </c>
      <c r="C58" s="21">
        <f t="shared" si="1"/>
        <v>0</v>
      </c>
      <c r="D58" s="21">
        <f t="shared" si="2"/>
        <v>0</v>
      </c>
      <c r="E58" s="21">
        <f t="shared" si="3"/>
        <v>0</v>
      </c>
      <c r="F58" s="21">
        <f t="shared" si="4"/>
        <v>1</v>
      </c>
      <c r="G58" s="21">
        <f t="shared" si="5"/>
        <v>0</v>
      </c>
      <c r="H58" s="21">
        <f t="shared" si="6"/>
        <v>0</v>
      </c>
      <c r="I58">
        <v>5</v>
      </c>
    </row>
    <row r="59" spans="1:9">
      <c r="A59" t="s">
        <v>68</v>
      </c>
      <c r="B59" s="21">
        <f t="shared" si="0"/>
        <v>0</v>
      </c>
      <c r="C59" s="21">
        <f t="shared" si="1"/>
        <v>0</v>
      </c>
      <c r="D59" s="21">
        <f t="shared" si="2"/>
        <v>1</v>
      </c>
      <c r="E59" s="21">
        <f t="shared" si="3"/>
        <v>0</v>
      </c>
      <c r="F59" s="21">
        <f t="shared" si="4"/>
        <v>0</v>
      </c>
      <c r="G59" s="21">
        <f t="shared" si="5"/>
        <v>0</v>
      </c>
      <c r="H59" s="21">
        <f t="shared" si="6"/>
        <v>0</v>
      </c>
      <c r="I59">
        <v>3</v>
      </c>
    </row>
    <row r="60" spans="1:9">
      <c r="A60" t="s">
        <v>69</v>
      </c>
      <c r="B60" s="21">
        <f t="shared" si="0"/>
        <v>0</v>
      </c>
      <c r="C60" s="21">
        <f t="shared" si="1"/>
        <v>0</v>
      </c>
      <c r="D60" s="21">
        <f t="shared" si="2"/>
        <v>0</v>
      </c>
      <c r="E60" s="21">
        <f t="shared" si="3"/>
        <v>0</v>
      </c>
      <c r="F60" s="21">
        <f t="shared" si="4"/>
        <v>0</v>
      </c>
      <c r="G60" s="21">
        <f t="shared" si="5"/>
        <v>1</v>
      </c>
      <c r="H60" s="21">
        <f t="shared" si="6"/>
        <v>0</v>
      </c>
      <c r="I60">
        <v>6</v>
      </c>
    </row>
    <row r="61" spans="1:9">
      <c r="A61" t="s">
        <v>70</v>
      </c>
      <c r="B61" s="21">
        <f t="shared" si="0"/>
        <v>0</v>
      </c>
      <c r="C61" s="21">
        <f t="shared" si="1"/>
        <v>0</v>
      </c>
      <c r="D61" s="21">
        <f t="shared" si="2"/>
        <v>1</v>
      </c>
      <c r="E61" s="21">
        <f t="shared" si="3"/>
        <v>0</v>
      </c>
      <c r="F61" s="21">
        <f t="shared" si="4"/>
        <v>0</v>
      </c>
      <c r="G61" s="21">
        <f t="shared" si="5"/>
        <v>0</v>
      </c>
      <c r="H61" s="21">
        <f t="shared" si="6"/>
        <v>0</v>
      </c>
      <c r="I61">
        <v>3</v>
      </c>
    </row>
    <row r="62" spans="1:9">
      <c r="A62" t="s">
        <v>71</v>
      </c>
      <c r="B62" s="21">
        <f t="shared" si="0"/>
        <v>0</v>
      </c>
      <c r="C62" s="21">
        <f t="shared" si="1"/>
        <v>0</v>
      </c>
      <c r="D62" s="21">
        <f t="shared" si="2"/>
        <v>1</v>
      </c>
      <c r="E62" s="21">
        <f t="shared" si="3"/>
        <v>0</v>
      </c>
      <c r="F62" s="21">
        <f t="shared" si="4"/>
        <v>0</v>
      </c>
      <c r="G62" s="21">
        <f t="shared" si="5"/>
        <v>0</v>
      </c>
      <c r="H62" s="21">
        <f t="shared" si="6"/>
        <v>0</v>
      </c>
      <c r="I62">
        <v>3</v>
      </c>
    </row>
    <row r="63" spans="1:9">
      <c r="A63" t="s">
        <v>72</v>
      </c>
      <c r="B63" s="21">
        <f t="shared" si="0"/>
        <v>0</v>
      </c>
      <c r="C63" s="21">
        <f t="shared" si="1"/>
        <v>0</v>
      </c>
      <c r="D63" s="21">
        <f t="shared" si="2"/>
        <v>1</v>
      </c>
      <c r="E63" s="21">
        <f t="shared" si="3"/>
        <v>0</v>
      </c>
      <c r="F63" s="21">
        <f t="shared" si="4"/>
        <v>0</v>
      </c>
      <c r="G63" s="21">
        <f t="shared" si="5"/>
        <v>0</v>
      </c>
      <c r="H63" s="21">
        <f t="shared" si="6"/>
        <v>0</v>
      </c>
      <c r="I63">
        <v>3</v>
      </c>
    </row>
    <row r="64" spans="1:9">
      <c r="A64" t="s">
        <v>73</v>
      </c>
      <c r="B64" s="21">
        <f t="shared" si="0"/>
        <v>0</v>
      </c>
      <c r="C64" s="21">
        <f t="shared" si="1"/>
        <v>0</v>
      </c>
      <c r="D64" s="21">
        <f t="shared" si="2"/>
        <v>0</v>
      </c>
      <c r="E64" s="21">
        <f t="shared" si="3"/>
        <v>1</v>
      </c>
      <c r="F64" s="21">
        <f t="shared" si="4"/>
        <v>0</v>
      </c>
      <c r="G64" s="21">
        <f t="shared" si="5"/>
        <v>0</v>
      </c>
      <c r="H64" s="21">
        <f t="shared" si="6"/>
        <v>0</v>
      </c>
      <c r="I64">
        <v>4</v>
      </c>
    </row>
    <row r="65" spans="1:9">
      <c r="A65" t="s">
        <v>74</v>
      </c>
      <c r="B65" s="21">
        <f t="shared" si="0"/>
        <v>0</v>
      </c>
      <c r="C65" s="21">
        <f t="shared" si="1"/>
        <v>0</v>
      </c>
      <c r="D65" s="21">
        <f t="shared" si="2"/>
        <v>1</v>
      </c>
      <c r="E65" s="21">
        <f t="shared" si="3"/>
        <v>0</v>
      </c>
      <c r="F65" s="21">
        <f t="shared" si="4"/>
        <v>0</v>
      </c>
      <c r="G65" s="21">
        <f t="shared" si="5"/>
        <v>0</v>
      </c>
      <c r="H65" s="21">
        <f t="shared" si="6"/>
        <v>0</v>
      </c>
      <c r="I65">
        <v>3</v>
      </c>
    </row>
    <row r="66" spans="1:9">
      <c r="A66" t="s">
        <v>75</v>
      </c>
      <c r="B66" s="21">
        <f t="shared" ref="B66:B85" si="7">IF($I66=1,1,0)</f>
        <v>0</v>
      </c>
      <c r="C66" s="21">
        <f t="shared" ref="C66:C85" si="8">IF($I66=2,1,0)</f>
        <v>0</v>
      </c>
      <c r="D66" s="21">
        <f t="shared" ref="D66:D85" si="9">IF($I66=3,1,0)</f>
        <v>0</v>
      </c>
      <c r="E66" s="21">
        <f t="shared" ref="E66:E85" si="10">IF($I66=4,1,0)</f>
        <v>1</v>
      </c>
      <c r="F66" s="21">
        <f t="shared" ref="F66:F85" si="11">IF($I66=5,1,0)</f>
        <v>0</v>
      </c>
      <c r="G66" s="21">
        <f t="shared" ref="G66:G85" si="12">IF($I66=6,1,0)</f>
        <v>0</v>
      </c>
      <c r="H66" s="21">
        <f t="shared" ref="H66:H85" si="13">IF($I66=7,1,0)</f>
        <v>0</v>
      </c>
      <c r="I66">
        <v>4</v>
      </c>
    </row>
    <row r="67" spans="1:9">
      <c r="A67" t="s">
        <v>76</v>
      </c>
      <c r="B67" s="21">
        <f t="shared" si="7"/>
        <v>0</v>
      </c>
      <c r="C67" s="21">
        <f t="shared" si="8"/>
        <v>0</v>
      </c>
      <c r="D67" s="21">
        <f t="shared" si="9"/>
        <v>1</v>
      </c>
      <c r="E67" s="21">
        <f t="shared" si="10"/>
        <v>0</v>
      </c>
      <c r="F67" s="21">
        <f t="shared" si="11"/>
        <v>0</v>
      </c>
      <c r="G67" s="21">
        <f t="shared" si="12"/>
        <v>0</v>
      </c>
      <c r="H67" s="21">
        <f t="shared" si="13"/>
        <v>0</v>
      </c>
      <c r="I67">
        <v>3</v>
      </c>
    </row>
    <row r="68" spans="1:9">
      <c r="A68" t="s">
        <v>77</v>
      </c>
      <c r="B68" s="21">
        <f t="shared" si="7"/>
        <v>0</v>
      </c>
      <c r="C68" s="21">
        <f t="shared" si="8"/>
        <v>0</v>
      </c>
      <c r="D68" s="21">
        <f t="shared" si="9"/>
        <v>0</v>
      </c>
      <c r="E68" s="21">
        <f t="shared" si="10"/>
        <v>0</v>
      </c>
      <c r="F68" s="21">
        <f t="shared" si="11"/>
        <v>1</v>
      </c>
      <c r="G68" s="21">
        <f t="shared" si="12"/>
        <v>0</v>
      </c>
      <c r="H68" s="21">
        <f t="shared" si="13"/>
        <v>0</v>
      </c>
      <c r="I68">
        <v>5</v>
      </c>
    </row>
    <row r="69" spans="1:9">
      <c r="A69" t="s">
        <v>78</v>
      </c>
      <c r="B69" s="21">
        <f t="shared" si="7"/>
        <v>0</v>
      </c>
      <c r="C69" s="21">
        <f t="shared" si="8"/>
        <v>0</v>
      </c>
      <c r="D69" s="21">
        <f t="shared" si="9"/>
        <v>1</v>
      </c>
      <c r="E69" s="21">
        <f t="shared" si="10"/>
        <v>0</v>
      </c>
      <c r="F69" s="21">
        <f t="shared" si="11"/>
        <v>0</v>
      </c>
      <c r="G69" s="21">
        <f t="shared" si="12"/>
        <v>0</v>
      </c>
      <c r="H69" s="21">
        <f t="shared" si="13"/>
        <v>0</v>
      </c>
      <c r="I69">
        <v>3</v>
      </c>
    </row>
    <row r="70" spans="1:9">
      <c r="A70" t="s">
        <v>79</v>
      </c>
      <c r="B70" s="21">
        <f t="shared" si="7"/>
        <v>0</v>
      </c>
      <c r="C70" s="21">
        <f t="shared" si="8"/>
        <v>0</v>
      </c>
      <c r="D70" s="21">
        <f t="shared" si="9"/>
        <v>1</v>
      </c>
      <c r="E70" s="21">
        <f t="shared" si="10"/>
        <v>0</v>
      </c>
      <c r="F70" s="21">
        <f t="shared" si="11"/>
        <v>0</v>
      </c>
      <c r="G70" s="21">
        <f t="shared" si="12"/>
        <v>0</v>
      </c>
      <c r="H70" s="21">
        <f t="shared" si="13"/>
        <v>0</v>
      </c>
      <c r="I70">
        <v>3</v>
      </c>
    </row>
    <row r="71" spans="1:9">
      <c r="A71" t="s">
        <v>80</v>
      </c>
      <c r="B71" s="21">
        <f t="shared" si="7"/>
        <v>0</v>
      </c>
      <c r="C71" s="21">
        <f t="shared" si="8"/>
        <v>0</v>
      </c>
      <c r="D71" s="21">
        <f t="shared" si="9"/>
        <v>1</v>
      </c>
      <c r="E71" s="21">
        <f t="shared" si="10"/>
        <v>0</v>
      </c>
      <c r="F71" s="21">
        <f t="shared" si="11"/>
        <v>0</v>
      </c>
      <c r="G71" s="21">
        <f t="shared" si="12"/>
        <v>0</v>
      </c>
      <c r="H71" s="21">
        <f t="shared" si="13"/>
        <v>0</v>
      </c>
      <c r="I71">
        <v>3</v>
      </c>
    </row>
    <row r="72" spans="1:9">
      <c r="A72" t="s">
        <v>81</v>
      </c>
      <c r="B72" s="21">
        <f t="shared" si="7"/>
        <v>0</v>
      </c>
      <c r="C72" s="21">
        <f t="shared" si="8"/>
        <v>0</v>
      </c>
      <c r="D72" s="21">
        <f t="shared" si="9"/>
        <v>1</v>
      </c>
      <c r="E72" s="21">
        <f t="shared" si="10"/>
        <v>0</v>
      </c>
      <c r="F72" s="21">
        <f t="shared" si="11"/>
        <v>0</v>
      </c>
      <c r="G72" s="21">
        <f t="shared" si="12"/>
        <v>0</v>
      </c>
      <c r="H72" s="21">
        <f t="shared" si="13"/>
        <v>0</v>
      </c>
      <c r="I72">
        <v>3</v>
      </c>
    </row>
    <row r="73" spans="1:9">
      <c r="A73" t="s">
        <v>82</v>
      </c>
      <c r="B73" s="21">
        <f t="shared" si="7"/>
        <v>0</v>
      </c>
      <c r="C73" s="21">
        <f t="shared" si="8"/>
        <v>0</v>
      </c>
      <c r="D73" s="21">
        <f t="shared" si="9"/>
        <v>1</v>
      </c>
      <c r="E73" s="21">
        <f t="shared" si="10"/>
        <v>0</v>
      </c>
      <c r="F73" s="21">
        <f t="shared" si="11"/>
        <v>0</v>
      </c>
      <c r="G73" s="21">
        <f t="shared" si="12"/>
        <v>0</v>
      </c>
      <c r="H73" s="21">
        <f t="shared" si="13"/>
        <v>0</v>
      </c>
      <c r="I73">
        <v>3</v>
      </c>
    </row>
    <row r="74" spans="1:9">
      <c r="A74" t="s">
        <v>83</v>
      </c>
      <c r="B74" s="21">
        <f t="shared" si="7"/>
        <v>0</v>
      </c>
      <c r="C74" s="21">
        <f t="shared" si="8"/>
        <v>0</v>
      </c>
      <c r="D74" s="21">
        <f t="shared" si="9"/>
        <v>1</v>
      </c>
      <c r="E74" s="21">
        <f t="shared" si="10"/>
        <v>0</v>
      </c>
      <c r="F74" s="21">
        <f t="shared" si="11"/>
        <v>0</v>
      </c>
      <c r="G74" s="21">
        <f t="shared" si="12"/>
        <v>0</v>
      </c>
      <c r="H74" s="21">
        <f t="shared" si="13"/>
        <v>0</v>
      </c>
      <c r="I74">
        <v>3</v>
      </c>
    </row>
    <row r="75" spans="1:9">
      <c r="A75" t="s">
        <v>84</v>
      </c>
      <c r="B75" s="21">
        <f t="shared" si="7"/>
        <v>0</v>
      </c>
      <c r="C75" s="21">
        <f t="shared" si="8"/>
        <v>0</v>
      </c>
      <c r="D75" s="21">
        <f t="shared" si="9"/>
        <v>1</v>
      </c>
      <c r="E75" s="21">
        <f t="shared" si="10"/>
        <v>0</v>
      </c>
      <c r="F75" s="21">
        <f t="shared" si="11"/>
        <v>0</v>
      </c>
      <c r="G75" s="21">
        <f t="shared" si="12"/>
        <v>0</v>
      </c>
      <c r="H75" s="21">
        <f t="shared" si="13"/>
        <v>0</v>
      </c>
      <c r="I75">
        <v>3</v>
      </c>
    </row>
    <row r="76" spans="1:9">
      <c r="A76" t="s">
        <v>85</v>
      </c>
      <c r="B76" s="21">
        <f t="shared" si="7"/>
        <v>0</v>
      </c>
      <c r="C76" s="21">
        <f t="shared" si="8"/>
        <v>0</v>
      </c>
      <c r="D76" s="21">
        <f t="shared" si="9"/>
        <v>1</v>
      </c>
      <c r="E76" s="21">
        <f t="shared" si="10"/>
        <v>0</v>
      </c>
      <c r="F76" s="21">
        <f t="shared" si="11"/>
        <v>0</v>
      </c>
      <c r="G76" s="21">
        <f t="shared" si="12"/>
        <v>0</v>
      </c>
      <c r="H76" s="21">
        <f t="shared" si="13"/>
        <v>0</v>
      </c>
      <c r="I76">
        <v>3</v>
      </c>
    </row>
    <row r="77" spans="1:9">
      <c r="A77" t="s">
        <v>86</v>
      </c>
      <c r="B77" s="21">
        <f t="shared" si="7"/>
        <v>0</v>
      </c>
      <c r="C77" s="21">
        <f t="shared" si="8"/>
        <v>0</v>
      </c>
      <c r="D77" s="21">
        <f t="shared" si="9"/>
        <v>1</v>
      </c>
      <c r="E77" s="21">
        <f t="shared" si="10"/>
        <v>0</v>
      </c>
      <c r="F77" s="21">
        <f t="shared" si="11"/>
        <v>0</v>
      </c>
      <c r="G77" s="21">
        <f t="shared" si="12"/>
        <v>0</v>
      </c>
      <c r="H77" s="21">
        <f t="shared" si="13"/>
        <v>0</v>
      </c>
      <c r="I77">
        <v>3</v>
      </c>
    </row>
    <row r="78" spans="1:9">
      <c r="A78" t="s">
        <v>87</v>
      </c>
      <c r="B78" s="21">
        <f t="shared" si="7"/>
        <v>0</v>
      </c>
      <c r="C78" s="21">
        <f t="shared" si="8"/>
        <v>0</v>
      </c>
      <c r="D78" s="21">
        <f t="shared" si="9"/>
        <v>1</v>
      </c>
      <c r="E78" s="21">
        <f t="shared" si="10"/>
        <v>0</v>
      </c>
      <c r="F78" s="21">
        <f t="shared" si="11"/>
        <v>0</v>
      </c>
      <c r="G78" s="21">
        <f t="shared" si="12"/>
        <v>0</v>
      </c>
      <c r="H78" s="21">
        <f t="shared" si="13"/>
        <v>0</v>
      </c>
      <c r="I78">
        <v>3</v>
      </c>
    </row>
    <row r="79" spans="1:9">
      <c r="A79" t="s">
        <v>88</v>
      </c>
      <c r="B79" s="21">
        <f t="shared" si="7"/>
        <v>0</v>
      </c>
      <c r="C79" s="21">
        <f t="shared" si="8"/>
        <v>0</v>
      </c>
      <c r="D79" s="21">
        <f t="shared" si="9"/>
        <v>0</v>
      </c>
      <c r="E79" s="21">
        <f t="shared" si="10"/>
        <v>1</v>
      </c>
      <c r="F79" s="21">
        <f t="shared" si="11"/>
        <v>0</v>
      </c>
      <c r="G79" s="21">
        <f t="shared" si="12"/>
        <v>0</v>
      </c>
      <c r="H79" s="21">
        <f t="shared" si="13"/>
        <v>0</v>
      </c>
      <c r="I79">
        <v>4</v>
      </c>
    </row>
    <row r="80" spans="1:9">
      <c r="A80" t="s">
        <v>89</v>
      </c>
      <c r="B80" s="21">
        <f t="shared" si="7"/>
        <v>0</v>
      </c>
      <c r="C80" s="21">
        <f t="shared" si="8"/>
        <v>0</v>
      </c>
      <c r="D80" s="21">
        <f t="shared" si="9"/>
        <v>1</v>
      </c>
      <c r="E80" s="21">
        <f t="shared" si="10"/>
        <v>0</v>
      </c>
      <c r="F80" s="21">
        <f t="shared" si="11"/>
        <v>0</v>
      </c>
      <c r="G80" s="21">
        <f t="shared" si="12"/>
        <v>0</v>
      </c>
      <c r="H80" s="21">
        <f t="shared" si="13"/>
        <v>0</v>
      </c>
      <c r="I80">
        <v>3</v>
      </c>
    </row>
    <row r="81" spans="1:9">
      <c r="A81" t="s">
        <v>90</v>
      </c>
      <c r="B81" s="21">
        <f t="shared" si="7"/>
        <v>0</v>
      </c>
      <c r="C81" s="21">
        <f t="shared" si="8"/>
        <v>1</v>
      </c>
      <c r="D81" s="21">
        <f t="shared" si="9"/>
        <v>0</v>
      </c>
      <c r="E81" s="21">
        <f t="shared" si="10"/>
        <v>0</v>
      </c>
      <c r="F81" s="21">
        <f t="shared" si="11"/>
        <v>0</v>
      </c>
      <c r="G81" s="21">
        <f t="shared" si="12"/>
        <v>0</v>
      </c>
      <c r="H81" s="21">
        <f t="shared" si="13"/>
        <v>0</v>
      </c>
      <c r="I81">
        <v>2</v>
      </c>
    </row>
    <row r="82" spans="1:9">
      <c r="A82" t="s">
        <v>91</v>
      </c>
      <c r="B82" s="21">
        <f t="shared" si="7"/>
        <v>0</v>
      </c>
      <c r="C82" s="21">
        <f t="shared" si="8"/>
        <v>0</v>
      </c>
      <c r="D82" s="21">
        <f t="shared" si="9"/>
        <v>1</v>
      </c>
      <c r="E82" s="21">
        <f t="shared" si="10"/>
        <v>0</v>
      </c>
      <c r="F82" s="21">
        <f t="shared" si="11"/>
        <v>0</v>
      </c>
      <c r="G82" s="21">
        <f t="shared" si="12"/>
        <v>0</v>
      </c>
      <c r="H82" s="21">
        <f t="shared" si="13"/>
        <v>0</v>
      </c>
      <c r="I82">
        <v>3</v>
      </c>
    </row>
    <row r="83" spans="1:9">
      <c r="A83" t="s">
        <v>92</v>
      </c>
      <c r="B83" s="21">
        <f t="shared" si="7"/>
        <v>0</v>
      </c>
      <c r="C83" s="21">
        <f t="shared" si="8"/>
        <v>0</v>
      </c>
      <c r="D83" s="21">
        <f t="shared" si="9"/>
        <v>0</v>
      </c>
      <c r="E83" s="21">
        <f t="shared" si="10"/>
        <v>0</v>
      </c>
      <c r="F83" s="21">
        <f t="shared" si="11"/>
        <v>0</v>
      </c>
      <c r="G83" s="21">
        <f t="shared" si="12"/>
        <v>0</v>
      </c>
      <c r="H83" s="21">
        <f t="shared" si="13"/>
        <v>1</v>
      </c>
      <c r="I83">
        <v>7</v>
      </c>
    </row>
    <row r="84" spans="1:9">
      <c r="A84" t="s">
        <v>93</v>
      </c>
      <c r="B84" s="21">
        <f t="shared" si="7"/>
        <v>0</v>
      </c>
      <c r="C84" s="21">
        <f t="shared" si="8"/>
        <v>0</v>
      </c>
      <c r="D84" s="21">
        <f t="shared" si="9"/>
        <v>0</v>
      </c>
      <c r="E84" s="21">
        <f t="shared" si="10"/>
        <v>1</v>
      </c>
      <c r="F84" s="21">
        <f t="shared" si="11"/>
        <v>0</v>
      </c>
      <c r="G84" s="21">
        <f t="shared" si="12"/>
        <v>0</v>
      </c>
      <c r="H84" s="21">
        <f t="shared" si="13"/>
        <v>0</v>
      </c>
      <c r="I84">
        <v>4</v>
      </c>
    </row>
    <row r="85" spans="1:9">
      <c r="A85" t="s">
        <v>94</v>
      </c>
      <c r="B85" s="21">
        <f t="shared" si="7"/>
        <v>0</v>
      </c>
      <c r="C85" s="21">
        <f t="shared" si="8"/>
        <v>0</v>
      </c>
      <c r="D85" s="21">
        <f t="shared" si="9"/>
        <v>0</v>
      </c>
      <c r="E85" s="21">
        <f t="shared" si="10"/>
        <v>0</v>
      </c>
      <c r="F85" s="21">
        <f t="shared" si="11"/>
        <v>0</v>
      </c>
      <c r="G85" s="21">
        <f t="shared" si="12"/>
        <v>1</v>
      </c>
      <c r="H85" s="21">
        <f t="shared" si="13"/>
        <v>0</v>
      </c>
      <c r="I85">
        <v>6</v>
      </c>
    </row>
    <row r="87" spans="1:9">
      <c r="A87" s="22" t="s">
        <v>10</v>
      </c>
      <c r="B87" s="21">
        <f>IF($I87=1,1,0)</f>
        <v>0</v>
      </c>
      <c r="C87" s="21">
        <f>IF($I87=2,1,0)</f>
        <v>0</v>
      </c>
      <c r="D87" s="21">
        <f>IF($I87=3,1,0)</f>
        <v>0</v>
      </c>
      <c r="E87" s="21">
        <f>IF($I87=4,1,0)</f>
        <v>1</v>
      </c>
      <c r="F87" s="21">
        <f>IF($I87=5,1,0)</f>
        <v>0</v>
      </c>
      <c r="G87" s="21">
        <f>IF($I87=6,1,0)</f>
        <v>0</v>
      </c>
      <c r="H87" s="21">
        <f>IF($I87=7,1,0)</f>
        <v>0</v>
      </c>
      <c r="I87">
        <v>4</v>
      </c>
    </row>
    <row r="88" spans="1:9">
      <c r="A88" s="22" t="s">
        <v>11</v>
      </c>
      <c r="B88" s="21">
        <f t="shared" ref="B88:B151" si="14">IF($I88=1,1,0)</f>
        <v>0</v>
      </c>
      <c r="C88" s="21">
        <f t="shared" ref="C88:C151" si="15">IF($I88=2,1,0)</f>
        <v>0</v>
      </c>
      <c r="D88" s="21">
        <f t="shared" ref="D88:D151" si="16">IF($I88=3,1,0)</f>
        <v>0</v>
      </c>
      <c r="E88" s="21">
        <f t="shared" ref="E88:E151" si="17">IF($I88=4,1,0)</f>
        <v>0</v>
      </c>
      <c r="F88" s="21">
        <f t="shared" ref="F88:F151" si="18">IF($I88=5,1,0)</f>
        <v>0</v>
      </c>
      <c r="G88" s="21">
        <f t="shared" ref="G88:G151" si="19">IF($I88=6,1,0)</f>
        <v>1</v>
      </c>
      <c r="H88" s="21">
        <f t="shared" ref="H88:H151" si="20">IF($I88=7,1,0)</f>
        <v>0</v>
      </c>
      <c r="I88">
        <v>6</v>
      </c>
    </row>
    <row r="89" spans="1:9">
      <c r="A89" s="22" t="s">
        <v>12</v>
      </c>
      <c r="B89" s="21">
        <f t="shared" si="14"/>
        <v>0</v>
      </c>
      <c r="C89" s="21">
        <f t="shared" si="15"/>
        <v>0</v>
      </c>
      <c r="D89" s="21">
        <f t="shared" si="16"/>
        <v>0</v>
      </c>
      <c r="E89" s="21">
        <f t="shared" si="17"/>
        <v>0</v>
      </c>
      <c r="F89" s="21">
        <f t="shared" si="18"/>
        <v>0</v>
      </c>
      <c r="G89" s="21">
        <f t="shared" si="19"/>
        <v>1</v>
      </c>
      <c r="H89" s="21">
        <f t="shared" si="20"/>
        <v>0</v>
      </c>
      <c r="I89">
        <v>6</v>
      </c>
    </row>
    <row r="90" spans="1:9">
      <c r="A90" s="22" t="s">
        <v>13</v>
      </c>
      <c r="B90" s="21">
        <f t="shared" si="14"/>
        <v>0</v>
      </c>
      <c r="C90" s="21">
        <f t="shared" si="15"/>
        <v>0</v>
      </c>
      <c r="D90" s="21">
        <f t="shared" si="16"/>
        <v>0</v>
      </c>
      <c r="E90" s="21">
        <f t="shared" si="17"/>
        <v>0</v>
      </c>
      <c r="F90" s="21">
        <f t="shared" si="18"/>
        <v>1</v>
      </c>
      <c r="G90" s="21">
        <f t="shared" si="19"/>
        <v>0</v>
      </c>
      <c r="H90" s="21">
        <f t="shared" si="20"/>
        <v>0</v>
      </c>
      <c r="I90">
        <v>5</v>
      </c>
    </row>
    <row r="91" spans="1:9">
      <c r="A91" s="22" t="s">
        <v>14</v>
      </c>
      <c r="B91" s="21">
        <f t="shared" si="14"/>
        <v>0</v>
      </c>
      <c r="C91" s="21">
        <f t="shared" si="15"/>
        <v>0</v>
      </c>
      <c r="D91" s="21">
        <f t="shared" si="16"/>
        <v>0</v>
      </c>
      <c r="E91" s="21">
        <f t="shared" si="17"/>
        <v>1</v>
      </c>
      <c r="F91" s="21">
        <f t="shared" si="18"/>
        <v>0</v>
      </c>
      <c r="G91" s="21">
        <f t="shared" si="19"/>
        <v>0</v>
      </c>
      <c r="H91" s="21">
        <f t="shared" si="20"/>
        <v>0</v>
      </c>
      <c r="I91">
        <v>4</v>
      </c>
    </row>
    <row r="92" spans="1:9">
      <c r="A92" s="22" t="s">
        <v>15</v>
      </c>
      <c r="B92" s="21">
        <f t="shared" si="14"/>
        <v>0</v>
      </c>
      <c r="C92" s="21">
        <f t="shared" si="15"/>
        <v>0</v>
      </c>
      <c r="D92" s="21">
        <f t="shared" si="16"/>
        <v>0</v>
      </c>
      <c r="E92" s="21">
        <f t="shared" si="17"/>
        <v>1</v>
      </c>
      <c r="F92" s="21">
        <f t="shared" si="18"/>
        <v>0</v>
      </c>
      <c r="G92" s="21">
        <f t="shared" si="19"/>
        <v>0</v>
      </c>
      <c r="H92" s="21">
        <f t="shared" si="20"/>
        <v>0</v>
      </c>
      <c r="I92">
        <v>4</v>
      </c>
    </row>
    <row r="93" spans="1:9">
      <c r="A93" s="22" t="s">
        <v>16</v>
      </c>
      <c r="B93" s="21">
        <f t="shared" si="14"/>
        <v>0</v>
      </c>
      <c r="C93" s="21">
        <f t="shared" si="15"/>
        <v>0</v>
      </c>
      <c r="D93" s="21">
        <f t="shared" si="16"/>
        <v>0</v>
      </c>
      <c r="E93" s="21">
        <f t="shared" si="17"/>
        <v>0</v>
      </c>
      <c r="F93" s="21">
        <f t="shared" si="18"/>
        <v>1</v>
      </c>
      <c r="G93" s="21">
        <f t="shared" si="19"/>
        <v>0</v>
      </c>
      <c r="H93" s="21">
        <f t="shared" si="20"/>
        <v>0</v>
      </c>
      <c r="I93">
        <v>5</v>
      </c>
    </row>
    <row r="94" spans="1:9">
      <c r="A94" s="22" t="s">
        <v>17</v>
      </c>
      <c r="B94" s="21">
        <f t="shared" si="14"/>
        <v>0</v>
      </c>
      <c r="C94" s="21">
        <f t="shared" si="15"/>
        <v>0</v>
      </c>
      <c r="D94" s="21">
        <f t="shared" si="16"/>
        <v>0</v>
      </c>
      <c r="E94" s="21">
        <f t="shared" si="17"/>
        <v>0</v>
      </c>
      <c r="F94" s="21">
        <f t="shared" si="18"/>
        <v>1</v>
      </c>
      <c r="G94" s="21">
        <f t="shared" si="19"/>
        <v>0</v>
      </c>
      <c r="H94" s="21">
        <f t="shared" si="20"/>
        <v>0</v>
      </c>
      <c r="I94">
        <v>5</v>
      </c>
    </row>
    <row r="95" spans="1:9">
      <c r="A95" s="22" t="s">
        <v>18</v>
      </c>
      <c r="B95" s="21">
        <f t="shared" si="14"/>
        <v>0</v>
      </c>
      <c r="C95" s="21">
        <f t="shared" si="15"/>
        <v>0</v>
      </c>
      <c r="D95" s="21">
        <f t="shared" si="16"/>
        <v>0</v>
      </c>
      <c r="E95" s="21">
        <f t="shared" si="17"/>
        <v>0</v>
      </c>
      <c r="F95" s="21">
        <f t="shared" si="18"/>
        <v>1</v>
      </c>
      <c r="G95" s="21">
        <f t="shared" si="19"/>
        <v>0</v>
      </c>
      <c r="H95" s="21">
        <f t="shared" si="20"/>
        <v>0</v>
      </c>
      <c r="I95">
        <v>5</v>
      </c>
    </row>
    <row r="96" spans="1:9">
      <c r="A96" s="22" t="s">
        <v>19</v>
      </c>
      <c r="B96" s="21">
        <f t="shared" si="14"/>
        <v>0</v>
      </c>
      <c r="C96" s="21">
        <f t="shared" si="15"/>
        <v>0</v>
      </c>
      <c r="D96" s="21">
        <f t="shared" si="16"/>
        <v>0</v>
      </c>
      <c r="E96" s="21">
        <f t="shared" si="17"/>
        <v>1</v>
      </c>
      <c r="F96" s="21">
        <f t="shared" si="18"/>
        <v>0</v>
      </c>
      <c r="G96" s="21">
        <f t="shared" si="19"/>
        <v>0</v>
      </c>
      <c r="H96" s="21">
        <f t="shared" si="20"/>
        <v>0</v>
      </c>
      <c r="I96">
        <v>4</v>
      </c>
    </row>
    <row r="97" spans="1:9">
      <c r="A97" s="22" t="s">
        <v>20</v>
      </c>
      <c r="B97" s="21">
        <f t="shared" si="14"/>
        <v>0</v>
      </c>
      <c r="C97" s="21">
        <f t="shared" si="15"/>
        <v>1</v>
      </c>
      <c r="D97" s="21">
        <f t="shared" si="16"/>
        <v>0</v>
      </c>
      <c r="E97" s="21">
        <f t="shared" si="17"/>
        <v>0</v>
      </c>
      <c r="F97" s="21">
        <f t="shared" si="18"/>
        <v>0</v>
      </c>
      <c r="G97" s="21">
        <f t="shared" si="19"/>
        <v>0</v>
      </c>
      <c r="H97" s="21">
        <f t="shared" si="20"/>
        <v>0</v>
      </c>
      <c r="I97">
        <v>2</v>
      </c>
    </row>
    <row r="98" spans="1:9">
      <c r="A98" s="22" t="s">
        <v>21</v>
      </c>
      <c r="B98" s="21">
        <f t="shared" si="14"/>
        <v>1</v>
      </c>
      <c r="C98" s="21">
        <f t="shared" si="15"/>
        <v>0</v>
      </c>
      <c r="D98" s="21">
        <f t="shared" si="16"/>
        <v>0</v>
      </c>
      <c r="E98" s="21">
        <f t="shared" si="17"/>
        <v>0</v>
      </c>
      <c r="F98" s="21">
        <f t="shared" si="18"/>
        <v>0</v>
      </c>
      <c r="G98" s="21">
        <f t="shared" si="19"/>
        <v>0</v>
      </c>
      <c r="H98" s="21">
        <f t="shared" si="20"/>
        <v>0</v>
      </c>
      <c r="I98">
        <v>1</v>
      </c>
    </row>
    <row r="99" spans="1:9">
      <c r="A99" s="22" t="s">
        <v>22</v>
      </c>
      <c r="B99" s="21">
        <f t="shared" si="14"/>
        <v>1</v>
      </c>
      <c r="C99" s="21">
        <f t="shared" si="15"/>
        <v>0</v>
      </c>
      <c r="D99" s="21">
        <f t="shared" si="16"/>
        <v>0</v>
      </c>
      <c r="E99" s="21">
        <f t="shared" si="17"/>
        <v>0</v>
      </c>
      <c r="F99" s="21">
        <f t="shared" si="18"/>
        <v>0</v>
      </c>
      <c r="G99" s="21">
        <f t="shared" si="19"/>
        <v>0</v>
      </c>
      <c r="H99" s="21">
        <f t="shared" si="20"/>
        <v>0</v>
      </c>
      <c r="I99">
        <v>1</v>
      </c>
    </row>
    <row r="100" spans="1:9">
      <c r="A100" s="22" t="s">
        <v>23</v>
      </c>
      <c r="B100" s="21">
        <f t="shared" si="14"/>
        <v>0</v>
      </c>
      <c r="C100" s="21">
        <f t="shared" si="15"/>
        <v>0</v>
      </c>
      <c r="D100" s="21">
        <f t="shared" si="16"/>
        <v>0</v>
      </c>
      <c r="E100" s="21">
        <f t="shared" si="17"/>
        <v>0</v>
      </c>
      <c r="F100" s="21">
        <f t="shared" si="18"/>
        <v>1</v>
      </c>
      <c r="G100" s="21">
        <f t="shared" si="19"/>
        <v>0</v>
      </c>
      <c r="H100" s="21">
        <f t="shared" si="20"/>
        <v>0</v>
      </c>
      <c r="I100">
        <v>5</v>
      </c>
    </row>
    <row r="101" spans="1:9">
      <c r="A101" s="22" t="s">
        <v>24</v>
      </c>
      <c r="B101" s="21">
        <f t="shared" si="14"/>
        <v>0</v>
      </c>
      <c r="C101" s="21">
        <f t="shared" si="15"/>
        <v>0</v>
      </c>
      <c r="D101" s="21">
        <f t="shared" si="16"/>
        <v>0</v>
      </c>
      <c r="E101" s="21">
        <f t="shared" si="17"/>
        <v>0</v>
      </c>
      <c r="F101" s="21">
        <f t="shared" si="18"/>
        <v>1</v>
      </c>
      <c r="G101" s="21">
        <f t="shared" si="19"/>
        <v>0</v>
      </c>
      <c r="H101" s="21">
        <f t="shared" si="20"/>
        <v>0</v>
      </c>
      <c r="I101">
        <v>5</v>
      </c>
    </row>
    <row r="102" spans="1:9">
      <c r="A102" s="22" t="s">
        <v>25</v>
      </c>
      <c r="B102" s="21">
        <f t="shared" si="14"/>
        <v>0</v>
      </c>
      <c r="C102" s="21">
        <f t="shared" si="15"/>
        <v>0</v>
      </c>
      <c r="D102" s="21">
        <f t="shared" si="16"/>
        <v>0</v>
      </c>
      <c r="E102" s="21">
        <f t="shared" si="17"/>
        <v>0</v>
      </c>
      <c r="F102" s="21">
        <f t="shared" si="18"/>
        <v>0</v>
      </c>
      <c r="G102" s="21">
        <f t="shared" si="19"/>
        <v>0</v>
      </c>
      <c r="H102" s="21">
        <f t="shared" si="20"/>
        <v>1</v>
      </c>
      <c r="I102">
        <v>7</v>
      </c>
    </row>
    <row r="103" spans="1:9">
      <c r="A103" s="22" t="s">
        <v>26</v>
      </c>
      <c r="B103" s="21">
        <f t="shared" si="14"/>
        <v>0</v>
      </c>
      <c r="C103" s="21">
        <f t="shared" si="15"/>
        <v>0</v>
      </c>
      <c r="D103" s="21">
        <f t="shared" si="16"/>
        <v>0</v>
      </c>
      <c r="E103" s="21">
        <f t="shared" si="17"/>
        <v>0</v>
      </c>
      <c r="F103" s="21">
        <f t="shared" si="18"/>
        <v>0</v>
      </c>
      <c r="G103" s="21">
        <f t="shared" si="19"/>
        <v>1</v>
      </c>
      <c r="H103" s="21">
        <f t="shared" si="20"/>
        <v>0</v>
      </c>
      <c r="I103">
        <v>6</v>
      </c>
    </row>
    <row r="104" spans="1:9">
      <c r="A104" s="22" t="s">
        <v>27</v>
      </c>
      <c r="B104" s="21">
        <f t="shared" si="14"/>
        <v>0</v>
      </c>
      <c r="C104" s="21">
        <f t="shared" si="15"/>
        <v>0</v>
      </c>
      <c r="D104" s="21">
        <f t="shared" si="16"/>
        <v>0</v>
      </c>
      <c r="E104" s="21">
        <f t="shared" si="17"/>
        <v>0</v>
      </c>
      <c r="F104" s="21">
        <f t="shared" si="18"/>
        <v>1</v>
      </c>
      <c r="G104" s="21">
        <f t="shared" si="19"/>
        <v>0</v>
      </c>
      <c r="H104" s="21">
        <f t="shared" si="20"/>
        <v>0</v>
      </c>
      <c r="I104">
        <v>5</v>
      </c>
    </row>
    <row r="105" spans="1:9">
      <c r="A105" s="22" t="s">
        <v>28</v>
      </c>
      <c r="B105" s="21">
        <f t="shared" si="14"/>
        <v>0</v>
      </c>
      <c r="C105" s="21">
        <f t="shared" si="15"/>
        <v>0</v>
      </c>
      <c r="D105" s="21">
        <f t="shared" si="16"/>
        <v>0</v>
      </c>
      <c r="E105" s="21">
        <f t="shared" si="17"/>
        <v>0</v>
      </c>
      <c r="F105" s="21">
        <f t="shared" si="18"/>
        <v>0</v>
      </c>
      <c r="G105" s="21">
        <f t="shared" si="19"/>
        <v>1</v>
      </c>
      <c r="H105" s="21">
        <f t="shared" si="20"/>
        <v>0</v>
      </c>
      <c r="I105">
        <v>6</v>
      </c>
    </row>
    <row r="106" spans="1:9">
      <c r="A106" s="22" t="s">
        <v>29</v>
      </c>
      <c r="B106" s="21">
        <f t="shared" si="14"/>
        <v>0</v>
      </c>
      <c r="C106" s="21">
        <f t="shared" si="15"/>
        <v>0</v>
      </c>
      <c r="D106" s="21">
        <f t="shared" si="16"/>
        <v>0</v>
      </c>
      <c r="E106" s="21">
        <f t="shared" si="17"/>
        <v>0</v>
      </c>
      <c r="F106" s="21">
        <f t="shared" si="18"/>
        <v>0</v>
      </c>
      <c r="G106" s="21">
        <f t="shared" si="19"/>
        <v>0</v>
      </c>
      <c r="H106" s="21">
        <f t="shared" si="20"/>
        <v>1</v>
      </c>
      <c r="I106">
        <v>7</v>
      </c>
    </row>
    <row r="107" spans="1:9">
      <c r="A107" s="22" t="s">
        <v>30</v>
      </c>
      <c r="B107" s="21">
        <f t="shared" si="14"/>
        <v>0</v>
      </c>
      <c r="C107" s="21">
        <f t="shared" si="15"/>
        <v>0</v>
      </c>
      <c r="D107" s="21">
        <f t="shared" si="16"/>
        <v>0</v>
      </c>
      <c r="E107" s="21">
        <f t="shared" si="17"/>
        <v>0</v>
      </c>
      <c r="F107" s="21">
        <f t="shared" si="18"/>
        <v>1</v>
      </c>
      <c r="G107" s="21">
        <f t="shared" si="19"/>
        <v>0</v>
      </c>
      <c r="H107" s="21">
        <f t="shared" si="20"/>
        <v>0</v>
      </c>
      <c r="I107">
        <v>5</v>
      </c>
    </row>
    <row r="108" spans="1:9">
      <c r="A108" s="22" t="s">
        <v>31</v>
      </c>
      <c r="B108" s="21">
        <f t="shared" si="14"/>
        <v>0</v>
      </c>
      <c r="C108" s="21">
        <f t="shared" si="15"/>
        <v>0</v>
      </c>
      <c r="D108" s="21">
        <f t="shared" si="16"/>
        <v>0</v>
      </c>
      <c r="E108" s="21">
        <f t="shared" si="17"/>
        <v>0</v>
      </c>
      <c r="F108" s="21">
        <f t="shared" si="18"/>
        <v>1</v>
      </c>
      <c r="G108" s="21">
        <f t="shared" si="19"/>
        <v>0</v>
      </c>
      <c r="H108" s="21">
        <f t="shared" si="20"/>
        <v>0</v>
      </c>
      <c r="I108">
        <v>5</v>
      </c>
    </row>
    <row r="109" spans="1:9">
      <c r="A109" s="22" t="s">
        <v>32</v>
      </c>
      <c r="B109" s="21">
        <f t="shared" si="14"/>
        <v>0</v>
      </c>
      <c r="C109" s="21">
        <f t="shared" si="15"/>
        <v>0</v>
      </c>
      <c r="D109" s="21">
        <f t="shared" si="16"/>
        <v>0</v>
      </c>
      <c r="E109" s="21">
        <f t="shared" si="17"/>
        <v>0</v>
      </c>
      <c r="F109" s="21">
        <f t="shared" si="18"/>
        <v>1</v>
      </c>
      <c r="G109" s="21">
        <f t="shared" si="19"/>
        <v>0</v>
      </c>
      <c r="H109" s="21">
        <f t="shared" si="20"/>
        <v>0</v>
      </c>
      <c r="I109">
        <v>5</v>
      </c>
    </row>
    <row r="110" spans="1:9">
      <c r="A110" s="22" t="s">
        <v>33</v>
      </c>
      <c r="B110" s="21">
        <f t="shared" si="14"/>
        <v>0</v>
      </c>
      <c r="C110" s="21">
        <f t="shared" si="15"/>
        <v>1</v>
      </c>
      <c r="D110" s="21">
        <f t="shared" si="16"/>
        <v>0</v>
      </c>
      <c r="E110" s="21">
        <f t="shared" si="17"/>
        <v>0</v>
      </c>
      <c r="F110" s="21">
        <f t="shared" si="18"/>
        <v>0</v>
      </c>
      <c r="G110" s="21">
        <f t="shared" si="19"/>
        <v>0</v>
      </c>
      <c r="H110" s="21">
        <f t="shared" si="20"/>
        <v>0</v>
      </c>
      <c r="I110">
        <v>2</v>
      </c>
    </row>
    <row r="111" spans="1:9">
      <c r="A111" s="22" t="s">
        <v>34</v>
      </c>
      <c r="B111" s="21">
        <f t="shared" si="14"/>
        <v>0</v>
      </c>
      <c r="C111" s="21">
        <f t="shared" si="15"/>
        <v>0</v>
      </c>
      <c r="D111" s="21">
        <f t="shared" si="16"/>
        <v>0</v>
      </c>
      <c r="E111" s="21">
        <f t="shared" si="17"/>
        <v>0</v>
      </c>
      <c r="F111" s="21">
        <f t="shared" si="18"/>
        <v>1</v>
      </c>
      <c r="G111" s="21">
        <f t="shared" si="19"/>
        <v>0</v>
      </c>
      <c r="H111" s="21">
        <f t="shared" si="20"/>
        <v>0</v>
      </c>
      <c r="I111">
        <v>5</v>
      </c>
    </row>
    <row r="112" spans="1:9">
      <c r="A112" s="22" t="s">
        <v>35</v>
      </c>
      <c r="B112" s="21">
        <f t="shared" si="14"/>
        <v>0</v>
      </c>
      <c r="C112" s="21">
        <f t="shared" si="15"/>
        <v>0</v>
      </c>
      <c r="D112" s="21">
        <f t="shared" si="16"/>
        <v>0</v>
      </c>
      <c r="E112" s="21">
        <f t="shared" si="17"/>
        <v>1</v>
      </c>
      <c r="F112" s="21">
        <f t="shared" si="18"/>
        <v>0</v>
      </c>
      <c r="G112" s="21">
        <f t="shared" si="19"/>
        <v>0</v>
      </c>
      <c r="H112" s="21">
        <f t="shared" si="20"/>
        <v>0</v>
      </c>
      <c r="I112">
        <v>4</v>
      </c>
    </row>
    <row r="113" spans="1:9">
      <c r="A113" s="22" t="s">
        <v>36</v>
      </c>
      <c r="B113" s="21">
        <f t="shared" si="14"/>
        <v>0</v>
      </c>
      <c r="C113" s="21">
        <f t="shared" si="15"/>
        <v>0</v>
      </c>
      <c r="D113" s="21">
        <f t="shared" si="16"/>
        <v>0</v>
      </c>
      <c r="E113" s="21">
        <f t="shared" si="17"/>
        <v>0</v>
      </c>
      <c r="F113" s="21">
        <f t="shared" si="18"/>
        <v>1</v>
      </c>
      <c r="G113" s="21">
        <f t="shared" si="19"/>
        <v>0</v>
      </c>
      <c r="H113" s="21">
        <f t="shared" si="20"/>
        <v>0</v>
      </c>
      <c r="I113">
        <v>5</v>
      </c>
    </row>
    <row r="114" spans="1:9">
      <c r="A114" s="22" t="s">
        <v>37</v>
      </c>
      <c r="B114" s="21">
        <f t="shared" si="14"/>
        <v>0</v>
      </c>
      <c r="C114" s="21">
        <f t="shared" si="15"/>
        <v>1</v>
      </c>
      <c r="D114" s="21">
        <f t="shared" si="16"/>
        <v>0</v>
      </c>
      <c r="E114" s="21">
        <f t="shared" si="17"/>
        <v>0</v>
      </c>
      <c r="F114" s="21">
        <f t="shared" si="18"/>
        <v>0</v>
      </c>
      <c r="G114" s="21">
        <f t="shared" si="19"/>
        <v>0</v>
      </c>
      <c r="H114" s="21">
        <f t="shared" si="20"/>
        <v>0</v>
      </c>
      <c r="I114">
        <v>2</v>
      </c>
    </row>
    <row r="115" spans="1:9">
      <c r="A115" s="22" t="s">
        <v>38</v>
      </c>
      <c r="B115" s="21">
        <f t="shared" si="14"/>
        <v>0</v>
      </c>
      <c r="C115" s="21">
        <f t="shared" si="15"/>
        <v>0</v>
      </c>
      <c r="D115" s="21">
        <f t="shared" si="16"/>
        <v>0</v>
      </c>
      <c r="E115" s="21">
        <f t="shared" si="17"/>
        <v>1</v>
      </c>
      <c r="F115" s="21">
        <f t="shared" si="18"/>
        <v>0</v>
      </c>
      <c r="G115" s="21">
        <f t="shared" si="19"/>
        <v>0</v>
      </c>
      <c r="H115" s="21">
        <f t="shared" si="20"/>
        <v>0</v>
      </c>
      <c r="I115">
        <v>4</v>
      </c>
    </row>
    <row r="116" spans="1:9">
      <c r="A116" s="22" t="s">
        <v>39</v>
      </c>
      <c r="B116" s="21">
        <f t="shared" si="14"/>
        <v>0</v>
      </c>
      <c r="C116" s="21">
        <f t="shared" si="15"/>
        <v>0</v>
      </c>
      <c r="D116" s="21">
        <f t="shared" si="16"/>
        <v>0</v>
      </c>
      <c r="E116" s="21">
        <f t="shared" si="17"/>
        <v>0</v>
      </c>
      <c r="F116" s="21">
        <f t="shared" si="18"/>
        <v>0</v>
      </c>
      <c r="G116" s="21">
        <f t="shared" si="19"/>
        <v>1</v>
      </c>
      <c r="H116" s="21">
        <f t="shared" si="20"/>
        <v>0</v>
      </c>
      <c r="I116">
        <v>6</v>
      </c>
    </row>
    <row r="117" spans="1:9">
      <c r="A117" s="22" t="s">
        <v>40</v>
      </c>
      <c r="B117" s="21">
        <f t="shared" si="14"/>
        <v>0</v>
      </c>
      <c r="C117" s="21">
        <f t="shared" si="15"/>
        <v>1</v>
      </c>
      <c r="D117" s="21">
        <f t="shared" si="16"/>
        <v>0</v>
      </c>
      <c r="E117" s="21">
        <f t="shared" si="17"/>
        <v>0</v>
      </c>
      <c r="F117" s="21">
        <f t="shared" si="18"/>
        <v>0</v>
      </c>
      <c r="G117" s="21">
        <f t="shared" si="19"/>
        <v>0</v>
      </c>
      <c r="H117" s="21">
        <f t="shared" si="20"/>
        <v>0</v>
      </c>
      <c r="I117">
        <v>2</v>
      </c>
    </row>
    <row r="118" spans="1:9">
      <c r="A118" s="22" t="s">
        <v>41</v>
      </c>
      <c r="B118" s="21">
        <f t="shared" si="14"/>
        <v>0</v>
      </c>
      <c r="C118" s="21">
        <f t="shared" si="15"/>
        <v>0</v>
      </c>
      <c r="D118" s="21">
        <f t="shared" si="16"/>
        <v>0</v>
      </c>
      <c r="E118" s="21">
        <f t="shared" si="17"/>
        <v>0</v>
      </c>
      <c r="F118" s="21">
        <f t="shared" si="18"/>
        <v>0</v>
      </c>
      <c r="G118" s="21">
        <f t="shared" si="19"/>
        <v>1</v>
      </c>
      <c r="H118" s="21">
        <f t="shared" si="20"/>
        <v>0</v>
      </c>
      <c r="I118">
        <v>6</v>
      </c>
    </row>
    <row r="119" spans="1:9">
      <c r="A119" s="22" t="s">
        <v>42</v>
      </c>
      <c r="B119" s="21">
        <f t="shared" si="14"/>
        <v>0</v>
      </c>
      <c r="C119" s="21">
        <f t="shared" si="15"/>
        <v>0</v>
      </c>
      <c r="D119" s="21">
        <f t="shared" si="16"/>
        <v>1</v>
      </c>
      <c r="E119" s="21">
        <f t="shared" si="17"/>
        <v>0</v>
      </c>
      <c r="F119" s="21">
        <f t="shared" si="18"/>
        <v>0</v>
      </c>
      <c r="G119" s="21">
        <f t="shared" si="19"/>
        <v>0</v>
      </c>
      <c r="H119" s="21">
        <f t="shared" si="20"/>
        <v>0</v>
      </c>
      <c r="I119">
        <v>3</v>
      </c>
    </row>
    <row r="120" spans="1:9">
      <c r="A120" s="22" t="s">
        <v>43</v>
      </c>
      <c r="B120" s="21">
        <f t="shared" si="14"/>
        <v>0</v>
      </c>
      <c r="C120" s="21">
        <f t="shared" si="15"/>
        <v>0</v>
      </c>
      <c r="D120" s="21">
        <f t="shared" si="16"/>
        <v>0</v>
      </c>
      <c r="E120" s="21">
        <f t="shared" si="17"/>
        <v>0</v>
      </c>
      <c r="F120" s="21">
        <f t="shared" si="18"/>
        <v>1</v>
      </c>
      <c r="G120" s="21">
        <f t="shared" si="19"/>
        <v>0</v>
      </c>
      <c r="H120" s="21">
        <f t="shared" si="20"/>
        <v>0</v>
      </c>
      <c r="I120">
        <v>5</v>
      </c>
    </row>
    <row r="121" spans="1:9">
      <c r="A121" s="22" t="s">
        <v>44</v>
      </c>
      <c r="B121" s="21">
        <f t="shared" si="14"/>
        <v>0</v>
      </c>
      <c r="C121" s="21">
        <f t="shared" si="15"/>
        <v>0</v>
      </c>
      <c r="D121" s="21">
        <f t="shared" si="16"/>
        <v>0</v>
      </c>
      <c r="E121" s="21">
        <f t="shared" si="17"/>
        <v>1</v>
      </c>
      <c r="F121" s="21">
        <f t="shared" si="18"/>
        <v>0</v>
      </c>
      <c r="G121" s="21">
        <f t="shared" si="19"/>
        <v>0</v>
      </c>
      <c r="H121" s="21">
        <f t="shared" si="20"/>
        <v>0</v>
      </c>
      <c r="I121">
        <v>4</v>
      </c>
    </row>
    <row r="122" spans="1:9">
      <c r="A122" s="22" t="s">
        <v>45</v>
      </c>
      <c r="B122" s="21">
        <f t="shared" si="14"/>
        <v>0</v>
      </c>
      <c r="C122" s="21">
        <f t="shared" si="15"/>
        <v>0</v>
      </c>
      <c r="D122" s="21">
        <f t="shared" si="16"/>
        <v>0</v>
      </c>
      <c r="E122" s="21">
        <f t="shared" si="17"/>
        <v>0</v>
      </c>
      <c r="F122" s="21">
        <f t="shared" si="18"/>
        <v>1</v>
      </c>
      <c r="G122" s="21">
        <f t="shared" si="19"/>
        <v>0</v>
      </c>
      <c r="H122" s="21">
        <f t="shared" si="20"/>
        <v>0</v>
      </c>
      <c r="I122">
        <v>5</v>
      </c>
    </row>
    <row r="123" spans="1:9">
      <c r="A123" s="22" t="s">
        <v>46</v>
      </c>
      <c r="B123" s="21">
        <f t="shared" si="14"/>
        <v>0</v>
      </c>
      <c r="C123" s="21">
        <f t="shared" si="15"/>
        <v>0</v>
      </c>
      <c r="D123" s="21">
        <f t="shared" si="16"/>
        <v>0</v>
      </c>
      <c r="E123" s="21">
        <f t="shared" si="17"/>
        <v>0</v>
      </c>
      <c r="F123" s="21">
        <f t="shared" si="18"/>
        <v>1</v>
      </c>
      <c r="G123" s="21">
        <f t="shared" si="19"/>
        <v>0</v>
      </c>
      <c r="H123" s="21">
        <f t="shared" si="20"/>
        <v>0</v>
      </c>
      <c r="I123">
        <v>5</v>
      </c>
    </row>
    <row r="124" spans="1:9">
      <c r="A124" s="22" t="s">
        <v>47</v>
      </c>
      <c r="B124" s="21">
        <f t="shared" si="14"/>
        <v>0</v>
      </c>
      <c r="C124" s="21">
        <f t="shared" si="15"/>
        <v>0</v>
      </c>
      <c r="D124" s="21">
        <f t="shared" si="16"/>
        <v>0</v>
      </c>
      <c r="E124" s="21">
        <f t="shared" si="17"/>
        <v>1</v>
      </c>
      <c r="F124" s="21">
        <f t="shared" si="18"/>
        <v>0</v>
      </c>
      <c r="G124" s="21">
        <f t="shared" si="19"/>
        <v>0</v>
      </c>
      <c r="H124" s="21">
        <f t="shared" si="20"/>
        <v>0</v>
      </c>
      <c r="I124">
        <v>4</v>
      </c>
    </row>
    <row r="125" spans="1:9">
      <c r="A125" s="22" t="s">
        <v>48</v>
      </c>
      <c r="B125" s="21">
        <f t="shared" si="14"/>
        <v>0</v>
      </c>
      <c r="C125" s="21">
        <f t="shared" si="15"/>
        <v>0</v>
      </c>
      <c r="D125" s="21">
        <f t="shared" si="16"/>
        <v>0</v>
      </c>
      <c r="E125" s="21">
        <f t="shared" si="17"/>
        <v>0</v>
      </c>
      <c r="F125" s="21">
        <f t="shared" si="18"/>
        <v>1</v>
      </c>
      <c r="G125" s="21">
        <f t="shared" si="19"/>
        <v>0</v>
      </c>
      <c r="H125" s="21">
        <f t="shared" si="20"/>
        <v>0</v>
      </c>
      <c r="I125">
        <v>5</v>
      </c>
    </row>
    <row r="126" spans="1:9">
      <c r="A126" s="22" t="s">
        <v>49</v>
      </c>
      <c r="B126" s="21">
        <f t="shared" si="14"/>
        <v>0</v>
      </c>
      <c r="C126" s="21">
        <f t="shared" si="15"/>
        <v>0</v>
      </c>
      <c r="D126" s="21">
        <f t="shared" si="16"/>
        <v>0</v>
      </c>
      <c r="E126" s="21">
        <f t="shared" si="17"/>
        <v>1</v>
      </c>
      <c r="F126" s="21">
        <f t="shared" si="18"/>
        <v>0</v>
      </c>
      <c r="G126" s="21">
        <f t="shared" si="19"/>
        <v>0</v>
      </c>
      <c r="H126" s="21">
        <f t="shared" si="20"/>
        <v>0</v>
      </c>
      <c r="I126">
        <v>4</v>
      </c>
    </row>
    <row r="127" spans="1:9">
      <c r="A127" s="22" t="s">
        <v>50</v>
      </c>
      <c r="B127" s="21">
        <f t="shared" si="14"/>
        <v>0</v>
      </c>
      <c r="C127" s="21">
        <f t="shared" si="15"/>
        <v>0</v>
      </c>
      <c r="D127" s="21">
        <f t="shared" si="16"/>
        <v>0</v>
      </c>
      <c r="E127" s="21">
        <f t="shared" si="17"/>
        <v>0</v>
      </c>
      <c r="F127" s="21">
        <f t="shared" si="18"/>
        <v>1</v>
      </c>
      <c r="G127" s="21">
        <f t="shared" si="19"/>
        <v>0</v>
      </c>
      <c r="H127" s="21">
        <f t="shared" si="20"/>
        <v>0</v>
      </c>
      <c r="I127">
        <v>5</v>
      </c>
    </row>
    <row r="128" spans="1:9">
      <c r="A128" s="22" t="s">
        <v>51</v>
      </c>
      <c r="B128" s="21">
        <f t="shared" si="14"/>
        <v>0</v>
      </c>
      <c r="C128" s="21">
        <f t="shared" si="15"/>
        <v>0</v>
      </c>
      <c r="D128" s="21">
        <f t="shared" si="16"/>
        <v>0</v>
      </c>
      <c r="E128" s="21">
        <f t="shared" si="17"/>
        <v>0</v>
      </c>
      <c r="F128" s="21">
        <f t="shared" si="18"/>
        <v>0</v>
      </c>
      <c r="G128" s="21">
        <f t="shared" si="19"/>
        <v>1</v>
      </c>
      <c r="H128" s="21">
        <f t="shared" si="20"/>
        <v>0</v>
      </c>
      <c r="I128">
        <v>6</v>
      </c>
    </row>
    <row r="129" spans="1:9">
      <c r="A129" s="22" t="s">
        <v>52</v>
      </c>
      <c r="B129" s="21">
        <f t="shared" si="14"/>
        <v>0</v>
      </c>
      <c r="C129" s="21">
        <f t="shared" si="15"/>
        <v>0</v>
      </c>
      <c r="D129" s="21">
        <f t="shared" si="16"/>
        <v>0</v>
      </c>
      <c r="E129" s="21">
        <f t="shared" si="17"/>
        <v>0</v>
      </c>
      <c r="F129" s="21">
        <f t="shared" si="18"/>
        <v>1</v>
      </c>
      <c r="G129" s="21">
        <f t="shared" si="19"/>
        <v>0</v>
      </c>
      <c r="H129" s="21">
        <f t="shared" si="20"/>
        <v>0</v>
      </c>
      <c r="I129">
        <v>5</v>
      </c>
    </row>
    <row r="130" spans="1:9">
      <c r="A130" s="22" t="s">
        <v>53</v>
      </c>
      <c r="B130" s="21">
        <f t="shared" si="14"/>
        <v>0</v>
      </c>
      <c r="C130" s="21">
        <f t="shared" si="15"/>
        <v>0</v>
      </c>
      <c r="D130" s="21">
        <f t="shared" si="16"/>
        <v>0</v>
      </c>
      <c r="E130" s="21">
        <f t="shared" si="17"/>
        <v>0</v>
      </c>
      <c r="F130" s="21">
        <f t="shared" si="18"/>
        <v>0</v>
      </c>
      <c r="G130" s="21">
        <f t="shared" si="19"/>
        <v>0</v>
      </c>
      <c r="H130" s="21">
        <f t="shared" si="20"/>
        <v>1</v>
      </c>
      <c r="I130">
        <v>7</v>
      </c>
    </row>
    <row r="131" spans="1:9">
      <c r="A131" s="22" t="s">
        <v>54</v>
      </c>
      <c r="B131" s="21">
        <f t="shared" si="14"/>
        <v>1</v>
      </c>
      <c r="C131" s="21">
        <f t="shared" si="15"/>
        <v>0</v>
      </c>
      <c r="D131" s="21">
        <f t="shared" si="16"/>
        <v>0</v>
      </c>
      <c r="E131" s="21">
        <f t="shared" si="17"/>
        <v>0</v>
      </c>
      <c r="F131" s="21">
        <f t="shared" si="18"/>
        <v>0</v>
      </c>
      <c r="G131" s="21">
        <f t="shared" si="19"/>
        <v>0</v>
      </c>
      <c r="H131" s="21">
        <f t="shared" si="20"/>
        <v>0</v>
      </c>
      <c r="I131">
        <v>1</v>
      </c>
    </row>
    <row r="132" spans="1:9">
      <c r="A132" s="22" t="s">
        <v>55</v>
      </c>
      <c r="B132" s="21">
        <f t="shared" si="14"/>
        <v>0</v>
      </c>
      <c r="C132" s="21">
        <f t="shared" si="15"/>
        <v>0</v>
      </c>
      <c r="D132" s="21">
        <f t="shared" si="16"/>
        <v>0</v>
      </c>
      <c r="E132" s="21">
        <f t="shared" si="17"/>
        <v>1</v>
      </c>
      <c r="F132" s="21">
        <f t="shared" si="18"/>
        <v>0</v>
      </c>
      <c r="G132" s="21">
        <f t="shared" si="19"/>
        <v>0</v>
      </c>
      <c r="H132" s="21">
        <f t="shared" si="20"/>
        <v>0</v>
      </c>
      <c r="I132">
        <v>4</v>
      </c>
    </row>
    <row r="133" spans="1:9">
      <c r="A133" s="22" t="s">
        <v>56</v>
      </c>
      <c r="B133" s="21">
        <f t="shared" si="14"/>
        <v>0</v>
      </c>
      <c r="C133" s="21">
        <f t="shared" si="15"/>
        <v>0</v>
      </c>
      <c r="D133" s="21">
        <f t="shared" si="16"/>
        <v>0</v>
      </c>
      <c r="E133" s="21">
        <f t="shared" si="17"/>
        <v>0</v>
      </c>
      <c r="F133" s="21">
        <f t="shared" si="18"/>
        <v>1</v>
      </c>
      <c r="G133" s="21">
        <f t="shared" si="19"/>
        <v>0</v>
      </c>
      <c r="H133" s="21">
        <f t="shared" si="20"/>
        <v>0</v>
      </c>
      <c r="I133">
        <v>5</v>
      </c>
    </row>
    <row r="134" spans="1:9">
      <c r="A134" s="22" t="s">
        <v>57</v>
      </c>
      <c r="B134" s="21">
        <f t="shared" si="14"/>
        <v>0</v>
      </c>
      <c r="C134" s="21">
        <f t="shared" si="15"/>
        <v>0</v>
      </c>
      <c r="D134" s="21">
        <f t="shared" si="16"/>
        <v>0</v>
      </c>
      <c r="E134" s="21">
        <f t="shared" si="17"/>
        <v>0</v>
      </c>
      <c r="F134" s="21">
        <f t="shared" si="18"/>
        <v>0</v>
      </c>
      <c r="G134" s="21">
        <f t="shared" si="19"/>
        <v>0</v>
      </c>
      <c r="H134" s="21">
        <f t="shared" si="20"/>
        <v>1</v>
      </c>
      <c r="I134">
        <v>7</v>
      </c>
    </row>
    <row r="135" spans="1:9">
      <c r="A135" s="22" t="s">
        <v>58</v>
      </c>
      <c r="B135" s="21">
        <f t="shared" si="14"/>
        <v>0</v>
      </c>
      <c r="C135" s="21">
        <f t="shared" si="15"/>
        <v>0</v>
      </c>
      <c r="D135" s="21">
        <f t="shared" si="16"/>
        <v>0</v>
      </c>
      <c r="E135" s="21">
        <f t="shared" si="17"/>
        <v>0</v>
      </c>
      <c r="F135" s="21">
        <f t="shared" si="18"/>
        <v>0</v>
      </c>
      <c r="G135" s="21">
        <f t="shared" si="19"/>
        <v>0</v>
      </c>
      <c r="H135" s="21">
        <f t="shared" si="20"/>
        <v>1</v>
      </c>
      <c r="I135">
        <v>7</v>
      </c>
    </row>
    <row r="136" spans="1:9">
      <c r="A136" s="22" t="s">
        <v>59</v>
      </c>
      <c r="B136" s="21">
        <f t="shared" si="14"/>
        <v>0</v>
      </c>
      <c r="C136" s="21">
        <f t="shared" si="15"/>
        <v>0</v>
      </c>
      <c r="D136" s="21">
        <f t="shared" si="16"/>
        <v>0</v>
      </c>
      <c r="E136" s="21">
        <f t="shared" si="17"/>
        <v>0</v>
      </c>
      <c r="F136" s="21">
        <f t="shared" si="18"/>
        <v>0</v>
      </c>
      <c r="G136" s="21">
        <f t="shared" si="19"/>
        <v>0</v>
      </c>
      <c r="H136" s="21">
        <f t="shared" si="20"/>
        <v>1</v>
      </c>
      <c r="I136">
        <v>7</v>
      </c>
    </row>
    <row r="137" spans="1:9">
      <c r="A137" s="22" t="s">
        <v>60</v>
      </c>
      <c r="B137" s="21">
        <f t="shared" si="14"/>
        <v>0</v>
      </c>
      <c r="C137" s="21">
        <f t="shared" si="15"/>
        <v>0</v>
      </c>
      <c r="D137" s="21">
        <f t="shared" si="16"/>
        <v>0</v>
      </c>
      <c r="E137" s="21">
        <f t="shared" si="17"/>
        <v>0</v>
      </c>
      <c r="F137" s="21">
        <f t="shared" si="18"/>
        <v>0</v>
      </c>
      <c r="G137" s="21">
        <f t="shared" si="19"/>
        <v>1</v>
      </c>
      <c r="H137" s="21">
        <f t="shared" si="20"/>
        <v>0</v>
      </c>
      <c r="I137">
        <v>6</v>
      </c>
    </row>
    <row r="138" spans="1:9">
      <c r="A138" s="22" t="s">
        <v>61</v>
      </c>
      <c r="B138" s="21">
        <f t="shared" si="14"/>
        <v>0</v>
      </c>
      <c r="C138" s="21">
        <f t="shared" si="15"/>
        <v>0</v>
      </c>
      <c r="D138" s="21">
        <f t="shared" si="16"/>
        <v>0</v>
      </c>
      <c r="E138" s="21">
        <f t="shared" si="17"/>
        <v>0</v>
      </c>
      <c r="F138" s="21">
        <f t="shared" si="18"/>
        <v>0</v>
      </c>
      <c r="G138" s="21">
        <f t="shared" si="19"/>
        <v>1</v>
      </c>
      <c r="H138" s="21">
        <f t="shared" si="20"/>
        <v>0</v>
      </c>
      <c r="I138">
        <v>6</v>
      </c>
    </row>
    <row r="139" spans="1:9">
      <c r="A139" s="22" t="s">
        <v>62</v>
      </c>
      <c r="B139" s="21">
        <f t="shared" si="14"/>
        <v>0</v>
      </c>
      <c r="C139" s="21">
        <f t="shared" si="15"/>
        <v>0</v>
      </c>
      <c r="D139" s="21">
        <f t="shared" si="16"/>
        <v>0</v>
      </c>
      <c r="E139" s="21">
        <f t="shared" si="17"/>
        <v>0</v>
      </c>
      <c r="F139" s="21">
        <f t="shared" si="18"/>
        <v>1</v>
      </c>
      <c r="G139" s="21">
        <f t="shared" si="19"/>
        <v>0</v>
      </c>
      <c r="H139" s="21">
        <f t="shared" si="20"/>
        <v>0</v>
      </c>
      <c r="I139">
        <v>5</v>
      </c>
    </row>
    <row r="140" spans="1:9">
      <c r="A140" s="22" t="s">
        <v>63</v>
      </c>
      <c r="B140" s="21">
        <f t="shared" si="14"/>
        <v>0</v>
      </c>
      <c r="C140" s="21">
        <f t="shared" si="15"/>
        <v>0</v>
      </c>
      <c r="D140" s="21">
        <f t="shared" si="16"/>
        <v>0</v>
      </c>
      <c r="E140" s="21">
        <f t="shared" si="17"/>
        <v>1</v>
      </c>
      <c r="F140" s="21">
        <f t="shared" si="18"/>
        <v>0</v>
      </c>
      <c r="G140" s="21">
        <f t="shared" si="19"/>
        <v>0</v>
      </c>
      <c r="H140" s="21">
        <f t="shared" si="20"/>
        <v>0</v>
      </c>
      <c r="I140">
        <v>4</v>
      </c>
    </row>
    <row r="141" spans="1:9">
      <c r="A141" s="22" t="s">
        <v>64</v>
      </c>
      <c r="B141" s="21">
        <f t="shared" si="14"/>
        <v>0</v>
      </c>
      <c r="C141" s="21">
        <f t="shared" si="15"/>
        <v>0</v>
      </c>
      <c r="D141" s="21">
        <f t="shared" si="16"/>
        <v>0</v>
      </c>
      <c r="E141" s="21">
        <f t="shared" si="17"/>
        <v>1</v>
      </c>
      <c r="F141" s="21">
        <f t="shared" si="18"/>
        <v>0</v>
      </c>
      <c r="G141" s="21">
        <f t="shared" si="19"/>
        <v>0</v>
      </c>
      <c r="H141" s="21">
        <f t="shared" si="20"/>
        <v>0</v>
      </c>
      <c r="I141">
        <v>4</v>
      </c>
    </row>
    <row r="142" spans="1:9">
      <c r="A142" s="22" t="s">
        <v>65</v>
      </c>
      <c r="B142" s="21">
        <f t="shared" si="14"/>
        <v>0</v>
      </c>
      <c r="C142" s="21">
        <f t="shared" si="15"/>
        <v>0</v>
      </c>
      <c r="D142" s="21">
        <f t="shared" si="16"/>
        <v>0</v>
      </c>
      <c r="E142" s="21">
        <f t="shared" si="17"/>
        <v>0</v>
      </c>
      <c r="F142" s="21">
        <f t="shared" si="18"/>
        <v>0</v>
      </c>
      <c r="G142" s="21">
        <f t="shared" si="19"/>
        <v>1</v>
      </c>
      <c r="H142" s="21">
        <f t="shared" si="20"/>
        <v>0</v>
      </c>
      <c r="I142">
        <v>6</v>
      </c>
    </row>
    <row r="143" spans="1:9">
      <c r="A143" s="22" t="s">
        <v>66</v>
      </c>
      <c r="B143" s="21">
        <f t="shared" si="14"/>
        <v>0</v>
      </c>
      <c r="C143" s="21">
        <f t="shared" si="15"/>
        <v>0</v>
      </c>
      <c r="D143" s="21">
        <f t="shared" si="16"/>
        <v>0</v>
      </c>
      <c r="E143" s="21">
        <f t="shared" si="17"/>
        <v>0</v>
      </c>
      <c r="F143" s="21">
        <f t="shared" si="18"/>
        <v>0</v>
      </c>
      <c r="G143" s="21">
        <f t="shared" si="19"/>
        <v>0</v>
      </c>
      <c r="H143" s="21">
        <f t="shared" si="20"/>
        <v>1</v>
      </c>
      <c r="I143">
        <v>7</v>
      </c>
    </row>
    <row r="144" spans="1:9">
      <c r="A144" s="22" t="s">
        <v>67</v>
      </c>
      <c r="B144" s="21">
        <f t="shared" si="14"/>
        <v>0</v>
      </c>
      <c r="C144" s="21">
        <f t="shared" si="15"/>
        <v>1</v>
      </c>
      <c r="D144" s="21">
        <f t="shared" si="16"/>
        <v>0</v>
      </c>
      <c r="E144" s="21">
        <f t="shared" si="17"/>
        <v>0</v>
      </c>
      <c r="F144" s="21">
        <f t="shared" si="18"/>
        <v>0</v>
      </c>
      <c r="G144" s="21">
        <f t="shared" si="19"/>
        <v>0</v>
      </c>
      <c r="H144" s="21">
        <f t="shared" si="20"/>
        <v>0</v>
      </c>
      <c r="I144">
        <v>2</v>
      </c>
    </row>
    <row r="145" spans="1:9">
      <c r="A145" s="22" t="s">
        <v>68</v>
      </c>
      <c r="B145" s="21">
        <f t="shared" si="14"/>
        <v>0</v>
      </c>
      <c r="C145" s="21">
        <f t="shared" si="15"/>
        <v>0</v>
      </c>
      <c r="D145" s="21">
        <f t="shared" si="16"/>
        <v>0</v>
      </c>
      <c r="E145" s="21">
        <f t="shared" si="17"/>
        <v>0</v>
      </c>
      <c r="F145" s="21">
        <f t="shared" si="18"/>
        <v>1</v>
      </c>
      <c r="G145" s="21">
        <f t="shared" si="19"/>
        <v>0</v>
      </c>
      <c r="H145" s="21">
        <f t="shared" si="20"/>
        <v>0</v>
      </c>
      <c r="I145">
        <v>5</v>
      </c>
    </row>
    <row r="146" spans="1:9">
      <c r="A146" s="22" t="s">
        <v>69</v>
      </c>
      <c r="B146" s="21">
        <f t="shared" si="14"/>
        <v>0</v>
      </c>
      <c r="C146" s="21">
        <f t="shared" si="15"/>
        <v>0</v>
      </c>
      <c r="D146" s="21">
        <f t="shared" si="16"/>
        <v>0</v>
      </c>
      <c r="E146" s="21">
        <f t="shared" si="17"/>
        <v>0</v>
      </c>
      <c r="F146" s="21">
        <f t="shared" si="18"/>
        <v>1</v>
      </c>
      <c r="G146" s="21">
        <f t="shared" si="19"/>
        <v>0</v>
      </c>
      <c r="H146" s="21">
        <f t="shared" si="20"/>
        <v>0</v>
      </c>
      <c r="I146">
        <v>5</v>
      </c>
    </row>
    <row r="147" spans="1:9">
      <c r="A147" s="22" t="s">
        <v>70</v>
      </c>
      <c r="B147" s="21">
        <f t="shared" si="14"/>
        <v>0</v>
      </c>
      <c r="C147" s="21">
        <f t="shared" si="15"/>
        <v>0</v>
      </c>
      <c r="D147" s="21">
        <f t="shared" si="16"/>
        <v>0</v>
      </c>
      <c r="E147" s="21">
        <f t="shared" si="17"/>
        <v>1</v>
      </c>
      <c r="F147" s="21">
        <f t="shared" si="18"/>
        <v>0</v>
      </c>
      <c r="G147" s="21">
        <f t="shared" si="19"/>
        <v>0</v>
      </c>
      <c r="H147" s="21">
        <f t="shared" si="20"/>
        <v>0</v>
      </c>
      <c r="I147">
        <v>4</v>
      </c>
    </row>
    <row r="148" spans="1:9">
      <c r="A148" s="22" t="s">
        <v>71</v>
      </c>
      <c r="B148" s="21">
        <f t="shared" si="14"/>
        <v>0</v>
      </c>
      <c r="C148" s="21">
        <f t="shared" si="15"/>
        <v>0</v>
      </c>
      <c r="D148" s="21">
        <f t="shared" si="16"/>
        <v>0</v>
      </c>
      <c r="E148" s="21">
        <f t="shared" si="17"/>
        <v>1</v>
      </c>
      <c r="F148" s="21">
        <f t="shared" si="18"/>
        <v>0</v>
      </c>
      <c r="G148" s="21">
        <f t="shared" si="19"/>
        <v>0</v>
      </c>
      <c r="H148" s="21">
        <f t="shared" si="20"/>
        <v>0</v>
      </c>
      <c r="I148">
        <v>4</v>
      </c>
    </row>
    <row r="149" spans="1:9">
      <c r="A149" s="22" t="s">
        <v>72</v>
      </c>
      <c r="B149" s="21">
        <f t="shared" si="14"/>
        <v>0</v>
      </c>
      <c r="C149" s="21">
        <f t="shared" si="15"/>
        <v>0</v>
      </c>
      <c r="D149" s="21">
        <f t="shared" si="16"/>
        <v>0</v>
      </c>
      <c r="E149" s="21">
        <f t="shared" si="17"/>
        <v>0</v>
      </c>
      <c r="F149" s="21">
        <f t="shared" si="18"/>
        <v>1</v>
      </c>
      <c r="G149" s="21">
        <f t="shared" si="19"/>
        <v>0</v>
      </c>
      <c r="H149" s="21">
        <f t="shared" si="20"/>
        <v>0</v>
      </c>
      <c r="I149">
        <v>5</v>
      </c>
    </row>
    <row r="150" spans="1:9">
      <c r="A150" s="22" t="s">
        <v>73</v>
      </c>
      <c r="B150" s="21">
        <f t="shared" si="14"/>
        <v>0</v>
      </c>
      <c r="C150" s="21">
        <f t="shared" si="15"/>
        <v>0</v>
      </c>
      <c r="D150" s="21">
        <f t="shared" si="16"/>
        <v>0</v>
      </c>
      <c r="E150" s="21">
        <f t="shared" si="17"/>
        <v>0</v>
      </c>
      <c r="F150" s="21">
        <f t="shared" si="18"/>
        <v>0</v>
      </c>
      <c r="G150" s="21">
        <f t="shared" si="19"/>
        <v>1</v>
      </c>
      <c r="H150" s="21">
        <f t="shared" si="20"/>
        <v>0</v>
      </c>
      <c r="I150">
        <v>6</v>
      </c>
    </row>
    <row r="151" spans="1:9">
      <c r="A151" s="22" t="s">
        <v>74</v>
      </c>
      <c r="B151" s="21">
        <f t="shared" si="14"/>
        <v>0</v>
      </c>
      <c r="C151" s="21">
        <f t="shared" si="15"/>
        <v>0</v>
      </c>
      <c r="D151" s="21">
        <f t="shared" si="16"/>
        <v>0</v>
      </c>
      <c r="E151" s="21">
        <f t="shared" si="17"/>
        <v>0</v>
      </c>
      <c r="F151" s="21">
        <f t="shared" si="18"/>
        <v>1</v>
      </c>
      <c r="G151" s="21">
        <f t="shared" si="19"/>
        <v>0</v>
      </c>
      <c r="H151" s="21">
        <f t="shared" si="20"/>
        <v>0</v>
      </c>
      <c r="I151">
        <v>5</v>
      </c>
    </row>
    <row r="152" spans="1:9">
      <c r="A152" s="22" t="s">
        <v>75</v>
      </c>
      <c r="B152" s="21">
        <f t="shared" ref="B152:B171" si="21">IF($I152=1,1,0)</f>
        <v>0</v>
      </c>
      <c r="C152" s="21">
        <f t="shared" ref="C152:C171" si="22">IF($I152=2,1,0)</f>
        <v>0</v>
      </c>
      <c r="D152" s="21">
        <f t="shared" ref="D152:D171" si="23">IF($I152=3,1,0)</f>
        <v>0</v>
      </c>
      <c r="E152" s="21">
        <f t="shared" ref="E152:E171" si="24">IF($I152=4,1,0)</f>
        <v>0</v>
      </c>
      <c r="F152" s="21">
        <f t="shared" ref="F152:F171" si="25">IF($I152=5,1,0)</f>
        <v>0</v>
      </c>
      <c r="G152" s="21">
        <f t="shared" ref="G152:G171" si="26">IF($I152=6,1,0)</f>
        <v>1</v>
      </c>
      <c r="H152" s="21">
        <f t="shared" ref="H152:H171" si="27">IF($I152=7,1,0)</f>
        <v>0</v>
      </c>
      <c r="I152">
        <v>6</v>
      </c>
    </row>
    <row r="153" spans="1:9">
      <c r="A153" s="22" t="s">
        <v>76</v>
      </c>
      <c r="B153" s="21">
        <f t="shared" si="21"/>
        <v>0</v>
      </c>
      <c r="C153" s="21">
        <f t="shared" si="22"/>
        <v>0</v>
      </c>
      <c r="D153" s="21">
        <f t="shared" si="23"/>
        <v>0</v>
      </c>
      <c r="E153" s="21">
        <f t="shared" si="24"/>
        <v>0</v>
      </c>
      <c r="F153" s="21">
        <f t="shared" si="25"/>
        <v>1</v>
      </c>
      <c r="G153" s="21">
        <f t="shared" si="26"/>
        <v>0</v>
      </c>
      <c r="H153" s="21">
        <f t="shared" si="27"/>
        <v>0</v>
      </c>
      <c r="I153">
        <v>5</v>
      </c>
    </row>
    <row r="154" spans="1:9">
      <c r="A154" s="22" t="s">
        <v>77</v>
      </c>
      <c r="B154" s="21">
        <f t="shared" si="21"/>
        <v>0</v>
      </c>
      <c r="C154" s="21">
        <f t="shared" si="22"/>
        <v>1</v>
      </c>
      <c r="D154" s="21">
        <f t="shared" si="23"/>
        <v>0</v>
      </c>
      <c r="E154" s="21">
        <f t="shared" si="24"/>
        <v>0</v>
      </c>
      <c r="F154" s="21">
        <f t="shared" si="25"/>
        <v>0</v>
      </c>
      <c r="G154" s="21">
        <f t="shared" si="26"/>
        <v>0</v>
      </c>
      <c r="H154" s="21">
        <f t="shared" si="27"/>
        <v>0</v>
      </c>
      <c r="I154">
        <v>2</v>
      </c>
    </row>
    <row r="155" spans="1:9">
      <c r="A155" s="22" t="s">
        <v>78</v>
      </c>
      <c r="B155" s="21">
        <f t="shared" si="21"/>
        <v>0</v>
      </c>
      <c r="C155" s="21">
        <f t="shared" si="22"/>
        <v>0</v>
      </c>
      <c r="D155" s="21">
        <f t="shared" si="23"/>
        <v>0</v>
      </c>
      <c r="E155" s="21">
        <f t="shared" si="24"/>
        <v>1</v>
      </c>
      <c r="F155" s="21">
        <f t="shared" si="25"/>
        <v>0</v>
      </c>
      <c r="G155" s="21">
        <f t="shared" si="26"/>
        <v>0</v>
      </c>
      <c r="H155" s="21">
        <f t="shared" si="27"/>
        <v>0</v>
      </c>
      <c r="I155">
        <v>4</v>
      </c>
    </row>
    <row r="156" spans="1:9">
      <c r="A156" s="22" t="s">
        <v>79</v>
      </c>
      <c r="B156" s="21">
        <f t="shared" si="21"/>
        <v>0</v>
      </c>
      <c r="C156" s="21">
        <f t="shared" si="22"/>
        <v>0</v>
      </c>
      <c r="D156" s="21">
        <f t="shared" si="23"/>
        <v>0</v>
      </c>
      <c r="E156" s="21">
        <f t="shared" si="24"/>
        <v>0</v>
      </c>
      <c r="F156" s="21">
        <f t="shared" si="25"/>
        <v>1</v>
      </c>
      <c r="G156" s="21">
        <f t="shared" si="26"/>
        <v>0</v>
      </c>
      <c r="H156" s="21">
        <f t="shared" si="27"/>
        <v>0</v>
      </c>
      <c r="I156">
        <v>5</v>
      </c>
    </row>
    <row r="157" spans="1:9">
      <c r="A157" s="22" t="s">
        <v>80</v>
      </c>
      <c r="B157" s="21">
        <f t="shared" si="21"/>
        <v>0</v>
      </c>
      <c r="C157" s="21">
        <f t="shared" si="22"/>
        <v>0</v>
      </c>
      <c r="D157" s="21">
        <f t="shared" si="23"/>
        <v>0</v>
      </c>
      <c r="E157" s="21">
        <f t="shared" si="24"/>
        <v>1</v>
      </c>
      <c r="F157" s="21">
        <f t="shared" si="25"/>
        <v>0</v>
      </c>
      <c r="G157" s="21">
        <f t="shared" si="26"/>
        <v>0</v>
      </c>
      <c r="H157" s="21">
        <f t="shared" si="27"/>
        <v>0</v>
      </c>
      <c r="I157">
        <v>4</v>
      </c>
    </row>
    <row r="158" spans="1:9">
      <c r="A158" s="22" t="s">
        <v>81</v>
      </c>
      <c r="B158" s="21">
        <f t="shared" si="21"/>
        <v>0</v>
      </c>
      <c r="C158" s="21">
        <f t="shared" si="22"/>
        <v>0</v>
      </c>
      <c r="D158" s="21">
        <f t="shared" si="23"/>
        <v>0</v>
      </c>
      <c r="E158" s="21">
        <f t="shared" si="24"/>
        <v>1</v>
      </c>
      <c r="F158" s="21">
        <f t="shared" si="25"/>
        <v>0</v>
      </c>
      <c r="G158" s="21">
        <f t="shared" si="26"/>
        <v>0</v>
      </c>
      <c r="H158" s="21">
        <f t="shared" si="27"/>
        <v>0</v>
      </c>
      <c r="I158">
        <v>4</v>
      </c>
    </row>
    <row r="159" spans="1:9">
      <c r="A159" s="22" t="s">
        <v>82</v>
      </c>
      <c r="B159" s="21">
        <f t="shared" si="21"/>
        <v>0</v>
      </c>
      <c r="C159" s="21">
        <f t="shared" si="22"/>
        <v>0</v>
      </c>
      <c r="D159" s="21">
        <f t="shared" si="23"/>
        <v>0</v>
      </c>
      <c r="E159" s="21">
        <f t="shared" si="24"/>
        <v>0</v>
      </c>
      <c r="F159" s="21">
        <f t="shared" si="25"/>
        <v>1</v>
      </c>
      <c r="G159" s="21">
        <f t="shared" si="26"/>
        <v>0</v>
      </c>
      <c r="H159" s="21">
        <f t="shared" si="27"/>
        <v>0</v>
      </c>
      <c r="I159">
        <v>5</v>
      </c>
    </row>
    <row r="160" spans="1:9">
      <c r="A160" s="22" t="s">
        <v>83</v>
      </c>
      <c r="B160" s="21">
        <f t="shared" si="21"/>
        <v>0</v>
      </c>
      <c r="C160" s="21">
        <f t="shared" si="22"/>
        <v>0</v>
      </c>
      <c r="D160" s="21">
        <f t="shared" si="23"/>
        <v>0</v>
      </c>
      <c r="E160" s="21">
        <f t="shared" si="24"/>
        <v>0</v>
      </c>
      <c r="F160" s="21">
        <f t="shared" si="25"/>
        <v>1</v>
      </c>
      <c r="G160" s="21">
        <f t="shared" si="26"/>
        <v>0</v>
      </c>
      <c r="H160" s="21">
        <f t="shared" si="27"/>
        <v>0</v>
      </c>
      <c r="I160">
        <v>5</v>
      </c>
    </row>
    <row r="161" spans="1:9">
      <c r="A161" s="22" t="s">
        <v>84</v>
      </c>
      <c r="B161" s="21">
        <f t="shared" si="21"/>
        <v>0</v>
      </c>
      <c r="C161" s="21">
        <f t="shared" si="22"/>
        <v>0</v>
      </c>
      <c r="D161" s="21">
        <f t="shared" si="23"/>
        <v>0</v>
      </c>
      <c r="E161" s="21">
        <f t="shared" si="24"/>
        <v>1</v>
      </c>
      <c r="F161" s="21">
        <f t="shared" si="25"/>
        <v>0</v>
      </c>
      <c r="G161" s="21">
        <f t="shared" si="26"/>
        <v>0</v>
      </c>
      <c r="H161" s="21">
        <f t="shared" si="27"/>
        <v>0</v>
      </c>
      <c r="I161">
        <v>4</v>
      </c>
    </row>
    <row r="162" spans="1:9">
      <c r="A162" s="22" t="s">
        <v>85</v>
      </c>
      <c r="B162" s="21">
        <f t="shared" si="21"/>
        <v>0</v>
      </c>
      <c r="C162" s="21">
        <f t="shared" si="22"/>
        <v>0</v>
      </c>
      <c r="D162" s="21">
        <f t="shared" si="23"/>
        <v>0</v>
      </c>
      <c r="E162" s="21">
        <f t="shared" si="24"/>
        <v>1</v>
      </c>
      <c r="F162" s="21">
        <f t="shared" si="25"/>
        <v>0</v>
      </c>
      <c r="G162" s="21">
        <f t="shared" si="26"/>
        <v>0</v>
      </c>
      <c r="H162" s="21">
        <f t="shared" si="27"/>
        <v>0</v>
      </c>
      <c r="I162">
        <v>4</v>
      </c>
    </row>
    <row r="163" spans="1:9">
      <c r="A163" s="22" t="s">
        <v>86</v>
      </c>
      <c r="B163" s="21">
        <f t="shared" si="21"/>
        <v>0</v>
      </c>
      <c r="C163" s="21">
        <f t="shared" si="22"/>
        <v>0</v>
      </c>
      <c r="D163" s="21">
        <f t="shared" si="23"/>
        <v>0</v>
      </c>
      <c r="E163" s="21">
        <f t="shared" si="24"/>
        <v>0</v>
      </c>
      <c r="F163" s="21">
        <f t="shared" si="25"/>
        <v>1</v>
      </c>
      <c r="G163" s="21">
        <f t="shared" si="26"/>
        <v>0</v>
      </c>
      <c r="H163" s="21">
        <f t="shared" si="27"/>
        <v>0</v>
      </c>
      <c r="I163">
        <v>5</v>
      </c>
    </row>
    <row r="164" spans="1:9">
      <c r="A164" s="22" t="s">
        <v>87</v>
      </c>
      <c r="B164" s="21">
        <f t="shared" si="21"/>
        <v>0</v>
      </c>
      <c r="C164" s="21">
        <f t="shared" si="22"/>
        <v>0</v>
      </c>
      <c r="D164" s="21">
        <f t="shared" si="23"/>
        <v>0</v>
      </c>
      <c r="E164" s="21">
        <f t="shared" si="24"/>
        <v>0</v>
      </c>
      <c r="F164" s="21">
        <f t="shared" si="25"/>
        <v>0</v>
      </c>
      <c r="G164" s="21">
        <f t="shared" si="26"/>
        <v>1</v>
      </c>
      <c r="H164" s="21">
        <f t="shared" si="27"/>
        <v>0</v>
      </c>
      <c r="I164">
        <v>6</v>
      </c>
    </row>
    <row r="165" spans="1:9">
      <c r="A165" s="22" t="s">
        <v>88</v>
      </c>
      <c r="B165" s="21">
        <f t="shared" si="21"/>
        <v>0</v>
      </c>
      <c r="C165" s="21">
        <f t="shared" si="22"/>
        <v>0</v>
      </c>
      <c r="D165" s="21">
        <f t="shared" si="23"/>
        <v>0</v>
      </c>
      <c r="E165" s="21">
        <f t="shared" si="24"/>
        <v>0</v>
      </c>
      <c r="F165" s="21">
        <f t="shared" si="25"/>
        <v>0</v>
      </c>
      <c r="G165" s="21">
        <f t="shared" si="26"/>
        <v>1</v>
      </c>
      <c r="H165" s="21">
        <f t="shared" si="27"/>
        <v>0</v>
      </c>
      <c r="I165">
        <v>6</v>
      </c>
    </row>
    <row r="166" spans="1:9">
      <c r="A166" s="22" t="s">
        <v>89</v>
      </c>
      <c r="B166" s="21">
        <f t="shared" si="21"/>
        <v>0</v>
      </c>
      <c r="C166" s="21">
        <f t="shared" si="22"/>
        <v>0</v>
      </c>
      <c r="D166" s="21">
        <f t="shared" si="23"/>
        <v>0</v>
      </c>
      <c r="E166" s="21">
        <f t="shared" si="24"/>
        <v>0</v>
      </c>
      <c r="F166" s="21">
        <f t="shared" si="25"/>
        <v>1</v>
      </c>
      <c r="G166" s="21">
        <f t="shared" si="26"/>
        <v>0</v>
      </c>
      <c r="H166" s="21">
        <f t="shared" si="27"/>
        <v>0</v>
      </c>
      <c r="I166">
        <v>5</v>
      </c>
    </row>
    <row r="167" spans="1:9">
      <c r="A167" s="22" t="s">
        <v>90</v>
      </c>
      <c r="B167" s="21">
        <f t="shared" si="21"/>
        <v>0</v>
      </c>
      <c r="C167" s="21">
        <f t="shared" si="22"/>
        <v>0</v>
      </c>
      <c r="D167" s="21">
        <f t="shared" si="23"/>
        <v>0</v>
      </c>
      <c r="E167" s="21">
        <f t="shared" si="24"/>
        <v>0</v>
      </c>
      <c r="F167" s="21">
        <f t="shared" si="25"/>
        <v>0</v>
      </c>
      <c r="G167" s="21">
        <f t="shared" si="26"/>
        <v>0</v>
      </c>
      <c r="H167" s="21">
        <f t="shared" si="27"/>
        <v>1</v>
      </c>
      <c r="I167">
        <v>7</v>
      </c>
    </row>
    <row r="168" spans="1:9">
      <c r="A168" s="22" t="s">
        <v>91</v>
      </c>
      <c r="B168" s="21">
        <f t="shared" si="21"/>
        <v>0</v>
      </c>
      <c r="C168" s="21">
        <f t="shared" si="22"/>
        <v>0</v>
      </c>
      <c r="D168" s="21">
        <f t="shared" si="23"/>
        <v>0</v>
      </c>
      <c r="E168" s="21">
        <f t="shared" si="24"/>
        <v>1</v>
      </c>
      <c r="F168" s="21">
        <f t="shared" si="25"/>
        <v>0</v>
      </c>
      <c r="G168" s="21">
        <f t="shared" si="26"/>
        <v>0</v>
      </c>
      <c r="H168" s="21">
        <f t="shared" si="27"/>
        <v>0</v>
      </c>
      <c r="I168">
        <v>4</v>
      </c>
    </row>
    <row r="169" spans="1:9">
      <c r="A169" s="22" t="s">
        <v>92</v>
      </c>
      <c r="B169" s="21">
        <f t="shared" si="21"/>
        <v>0</v>
      </c>
      <c r="C169" s="21">
        <f t="shared" si="22"/>
        <v>0</v>
      </c>
      <c r="D169" s="21">
        <f t="shared" si="23"/>
        <v>1</v>
      </c>
      <c r="E169" s="21">
        <f t="shared" si="24"/>
        <v>0</v>
      </c>
      <c r="F169" s="21">
        <f t="shared" si="25"/>
        <v>0</v>
      </c>
      <c r="G169" s="21">
        <f t="shared" si="26"/>
        <v>0</v>
      </c>
      <c r="H169" s="21">
        <f t="shared" si="27"/>
        <v>0</v>
      </c>
      <c r="I169">
        <v>3</v>
      </c>
    </row>
    <row r="170" spans="1:9">
      <c r="A170" s="22" t="s">
        <v>93</v>
      </c>
      <c r="B170" s="21">
        <f t="shared" si="21"/>
        <v>0</v>
      </c>
      <c r="C170" s="21">
        <f t="shared" si="22"/>
        <v>0</v>
      </c>
      <c r="D170" s="21">
        <f t="shared" si="23"/>
        <v>0</v>
      </c>
      <c r="E170" s="21">
        <f t="shared" si="24"/>
        <v>0</v>
      </c>
      <c r="F170" s="21">
        <f t="shared" si="25"/>
        <v>0</v>
      </c>
      <c r="G170" s="21">
        <f t="shared" si="26"/>
        <v>1</v>
      </c>
      <c r="H170" s="21">
        <f t="shared" si="27"/>
        <v>0</v>
      </c>
      <c r="I170">
        <v>6</v>
      </c>
    </row>
    <row r="171" spans="1:9">
      <c r="A171" s="22" t="s">
        <v>94</v>
      </c>
      <c r="B171" s="21">
        <f t="shared" si="21"/>
        <v>1</v>
      </c>
      <c r="C171" s="21">
        <f t="shared" si="22"/>
        <v>0</v>
      </c>
      <c r="D171" s="21">
        <f t="shared" si="23"/>
        <v>0</v>
      </c>
      <c r="E171" s="21">
        <f t="shared" si="24"/>
        <v>0</v>
      </c>
      <c r="F171" s="21">
        <f t="shared" si="25"/>
        <v>0</v>
      </c>
      <c r="G171" s="21">
        <f t="shared" si="26"/>
        <v>0</v>
      </c>
      <c r="H171" s="21">
        <f t="shared" si="27"/>
        <v>0</v>
      </c>
      <c r="I171">
        <v>1</v>
      </c>
    </row>
  </sheetData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B11" sqref="B11"/>
    </sheetView>
  </sheetViews>
  <sheetFormatPr defaultColWidth="8.72727272727273" defaultRowHeight="14.5" outlineLevelCol="5"/>
  <cols>
    <col min="2" max="4" width="12.8181818181818"/>
    <col min="5" max="5" width="5.90909090909091" customWidth="1"/>
    <col min="6" max="6" width="4.45454545454545" customWidth="1"/>
  </cols>
  <sheetData>
    <row r="1" spans="1:6">
      <c r="A1" t="s">
        <v>190</v>
      </c>
      <c r="B1" t="s">
        <v>191</v>
      </c>
      <c r="C1" t="s">
        <v>192</v>
      </c>
      <c r="D1" t="s">
        <v>193</v>
      </c>
      <c r="E1" t="s">
        <v>194</v>
      </c>
      <c r="F1" t="s">
        <v>195</v>
      </c>
    </row>
    <row r="2" spans="1:6">
      <c r="A2" s="14">
        <v>3.255232</v>
      </c>
      <c r="B2">
        <f>-(85-(23/6))*LN(A2*A3*A4*A5*A6*A7*A8*A9*A10)</f>
        <v>269.935991778699</v>
      </c>
      <c r="C2">
        <f>CHIINV(1-E2/2,F2*(F2-1)/2)</f>
        <v>21.3358815607991</v>
      </c>
      <c r="D2">
        <f>CHIINV(E2/2,F2*(F2-1)/2)</f>
        <v>54.4372936318132</v>
      </c>
      <c r="E2">
        <v>0.05</v>
      </c>
      <c r="F2">
        <v>9</v>
      </c>
    </row>
    <row r="3" spans="1:1">
      <c r="A3" s="14">
        <v>1.311258</v>
      </c>
    </row>
    <row r="4" spans="1:1">
      <c r="A4" s="14">
        <v>1.255882</v>
      </c>
    </row>
    <row r="5" spans="1:1">
      <c r="A5" s="14">
        <v>1.053083</v>
      </c>
    </row>
    <row r="6" spans="1:1">
      <c r="A6" s="14">
        <v>0.718731</v>
      </c>
    </row>
    <row r="7" spans="1:1">
      <c r="A7" s="14">
        <v>0.59553</v>
      </c>
    </row>
    <row r="8" spans="1:1">
      <c r="A8" s="14">
        <v>0.428682</v>
      </c>
    </row>
    <row r="9" spans="1:1">
      <c r="A9" s="14">
        <v>0.232044</v>
      </c>
    </row>
    <row r="10" spans="1:1">
      <c r="A10" s="14">
        <v>0.149558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C1" sqref="C1"/>
    </sheetView>
  </sheetViews>
  <sheetFormatPr defaultColWidth="8.72727272727273" defaultRowHeight="14.5" outlineLevelCol="4"/>
  <cols>
    <col min="1" max="1" width="12.8181818181818"/>
    <col min="2" max="2" width="2.81818181818182" customWidth="1"/>
    <col min="4" max="4" width="2.90909090909091" customWidth="1"/>
    <col min="5" max="5" width="12.8181818181818"/>
  </cols>
  <sheetData>
    <row r="1" spans="1:5">
      <c r="A1" t="s">
        <v>196</v>
      </c>
      <c r="C1" t="s">
        <v>197</v>
      </c>
      <c r="D1" s="19"/>
      <c r="E1" t="s">
        <v>198</v>
      </c>
    </row>
    <row r="2" spans="1:5">
      <c r="A2">
        <f>C2/(1+1.96*SQRT(2/(85-1)))</f>
        <v>2.49934398638012</v>
      </c>
      <c r="B2" t="s">
        <v>199</v>
      </c>
      <c r="C2" s="14">
        <v>3.255232</v>
      </c>
      <c r="D2" s="20" t="s">
        <v>199</v>
      </c>
      <c r="E2">
        <f>C2/(1-1.96*SQRT(2/(85-1)))</f>
        <v>4.66656150231962</v>
      </c>
    </row>
    <row r="3" spans="1:5">
      <c r="A3">
        <f>C3/(1+1.96*SQRT(2/(85-1)))</f>
        <v>1.00677456995164</v>
      </c>
      <c r="B3" t="s">
        <v>199</v>
      </c>
      <c r="C3" s="14">
        <v>1.311258</v>
      </c>
      <c r="D3" s="20" t="s">
        <v>199</v>
      </c>
      <c r="E3">
        <f t="shared" ref="E3:E10" si="0">C3/(1-1.96*SQRT(2/(85-1)))</f>
        <v>1.87976344002781</v>
      </c>
    </row>
    <row r="4" spans="1:5">
      <c r="A4">
        <f>C4/(1+1.96*SQRT(2/(85-1)))</f>
        <v>0.964257270849831</v>
      </c>
      <c r="B4" t="s">
        <v>199</v>
      </c>
      <c r="C4" s="14">
        <v>1.255882</v>
      </c>
      <c r="D4" s="20" t="s">
        <v>199</v>
      </c>
      <c r="E4">
        <f t="shared" si="0"/>
        <v>1.80037877259015</v>
      </c>
    </row>
    <row r="5" spans="1:5">
      <c r="A5">
        <f t="shared" ref="A5:A10" si="1">C5/(1+1.96*SQRT(2/(85-1)))</f>
        <v>0.80854964045854</v>
      </c>
      <c r="B5" t="s">
        <v>199</v>
      </c>
      <c r="C5" s="14">
        <v>1.053083</v>
      </c>
      <c r="D5" s="20" t="s">
        <v>199</v>
      </c>
      <c r="E5">
        <f t="shared" si="0"/>
        <v>1.50965479159312</v>
      </c>
    </row>
    <row r="6" spans="1:5">
      <c r="A6">
        <f t="shared" si="1"/>
        <v>0.551836551949283</v>
      </c>
      <c r="B6" t="s">
        <v>199</v>
      </c>
      <c r="C6" s="14">
        <v>0.718731</v>
      </c>
      <c r="D6" s="20" t="s">
        <v>199</v>
      </c>
      <c r="E6">
        <f t="shared" si="0"/>
        <v>1.03034205092715</v>
      </c>
    </row>
    <row r="7" spans="1:5">
      <c r="A7">
        <f t="shared" si="1"/>
        <v>0.457243700052393</v>
      </c>
      <c r="B7" t="s">
        <v>199</v>
      </c>
      <c r="C7" s="14">
        <v>0.59553</v>
      </c>
      <c r="D7" s="20" t="s">
        <v>199</v>
      </c>
      <c r="E7">
        <f t="shared" si="0"/>
        <v>0.853726361585411</v>
      </c>
    </row>
    <row r="8" spans="1:5">
      <c r="A8">
        <f t="shared" si="1"/>
        <v>0.329138991865834</v>
      </c>
      <c r="B8" t="s">
        <v>199</v>
      </c>
      <c r="C8" s="14">
        <v>0.428682</v>
      </c>
      <c r="D8" s="20" t="s">
        <v>199</v>
      </c>
      <c r="E8">
        <f t="shared" si="0"/>
        <v>0.614540198037307</v>
      </c>
    </row>
    <row r="9" spans="1:5">
      <c r="A9">
        <f t="shared" si="1"/>
        <v>0.178161733472634</v>
      </c>
      <c r="B9" t="s">
        <v>199</v>
      </c>
      <c r="C9" s="14">
        <v>0.232044</v>
      </c>
      <c r="D9" s="20" t="s">
        <v>199</v>
      </c>
      <c r="E9">
        <f t="shared" si="0"/>
        <v>0.332648363386773</v>
      </c>
    </row>
    <row r="10" spans="1:5">
      <c r="A10">
        <f t="shared" si="1"/>
        <v>0.1148295691106</v>
      </c>
      <c r="B10" t="s">
        <v>199</v>
      </c>
      <c r="C10" s="14">
        <v>0.149558</v>
      </c>
      <c r="D10" s="20" t="s">
        <v>199</v>
      </c>
      <c r="E10">
        <f t="shared" si="0"/>
        <v>0.214399958332898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3"/>
  <sheetViews>
    <sheetView zoomScale="63" zoomScaleNormal="63" topLeftCell="J110" workbookViewId="0">
      <selection activeCell="AI131" sqref="AI131"/>
    </sheetView>
  </sheetViews>
  <sheetFormatPr defaultColWidth="8.72727272727273" defaultRowHeight="14.5"/>
  <cols>
    <col min="1" max="1" width="10.1818181818182" customWidth="1"/>
    <col min="2" max="3" width="14"/>
    <col min="4" max="4" width="12.9090909090909" customWidth="1"/>
    <col min="5" max="5" width="17.4545454545455" customWidth="1"/>
    <col min="8" max="16" width="14"/>
  </cols>
  <sheetData>
    <row r="1" spans="1:7">
      <c r="A1" t="s">
        <v>200</v>
      </c>
      <c r="B1" t="s">
        <v>201</v>
      </c>
      <c r="C1" t="s">
        <v>202</v>
      </c>
      <c r="D1" t="s">
        <v>203</v>
      </c>
      <c r="E1" t="s">
        <v>204</v>
      </c>
      <c r="F1" s="12" t="s">
        <v>205</v>
      </c>
      <c r="G1" s="12" t="s">
        <v>206</v>
      </c>
    </row>
    <row r="2" spans="1:7">
      <c r="A2" s="2" t="s">
        <v>10</v>
      </c>
      <c r="B2" s="14">
        <v>0.24728</v>
      </c>
      <c r="C2" s="14">
        <v>0.15524</v>
      </c>
      <c r="D2" s="14">
        <v>1</v>
      </c>
      <c r="E2" s="15">
        <v>1</v>
      </c>
      <c r="F2" s="14">
        <v>4</v>
      </c>
      <c r="G2" s="14">
        <v>2</v>
      </c>
    </row>
    <row r="3" spans="1:7">
      <c r="A3" s="2" t="s">
        <v>11</v>
      </c>
      <c r="B3" s="14">
        <v>0.87372</v>
      </c>
      <c r="C3" s="14">
        <v>-0.73676</v>
      </c>
      <c r="D3" s="14">
        <v>5</v>
      </c>
      <c r="E3" s="15">
        <v>5</v>
      </c>
      <c r="F3" s="14">
        <v>6</v>
      </c>
      <c r="G3" s="14">
        <v>4</v>
      </c>
    </row>
    <row r="4" spans="1:7">
      <c r="A4" s="2" t="s">
        <v>12</v>
      </c>
      <c r="B4" s="14">
        <v>1.00922</v>
      </c>
      <c r="C4" s="14">
        <v>0.26199</v>
      </c>
      <c r="D4" s="14">
        <v>4</v>
      </c>
      <c r="E4" s="15">
        <v>6</v>
      </c>
      <c r="F4" s="14">
        <v>6</v>
      </c>
      <c r="G4" s="14">
        <v>2</v>
      </c>
    </row>
    <row r="5" spans="1:7">
      <c r="A5" s="2" t="s">
        <v>13</v>
      </c>
      <c r="B5" s="14">
        <v>-0.71155</v>
      </c>
      <c r="C5" s="14">
        <v>0.04557</v>
      </c>
      <c r="D5" s="14">
        <v>2</v>
      </c>
      <c r="E5" s="15">
        <v>3</v>
      </c>
      <c r="F5" s="14">
        <v>5</v>
      </c>
      <c r="G5" s="14">
        <v>1</v>
      </c>
    </row>
    <row r="6" spans="1:7">
      <c r="A6" s="2" t="s">
        <v>14</v>
      </c>
      <c r="B6" s="14">
        <v>-0.03038</v>
      </c>
      <c r="C6" s="14">
        <v>-0.40819</v>
      </c>
      <c r="D6" s="14">
        <v>6</v>
      </c>
      <c r="E6" s="15">
        <v>4</v>
      </c>
      <c r="F6" s="14">
        <v>4</v>
      </c>
      <c r="G6" s="14">
        <v>4</v>
      </c>
    </row>
    <row r="7" spans="1:7">
      <c r="A7" s="2" t="s">
        <v>15</v>
      </c>
      <c r="B7" s="14">
        <v>-0.27567</v>
      </c>
      <c r="C7" s="14">
        <v>-0.30688</v>
      </c>
      <c r="D7" s="14">
        <v>6</v>
      </c>
      <c r="E7" s="15">
        <v>4</v>
      </c>
      <c r="F7" s="14">
        <v>4</v>
      </c>
      <c r="G7" s="14">
        <v>1</v>
      </c>
    </row>
    <row r="8" spans="1:7">
      <c r="A8" s="2" t="s">
        <v>16</v>
      </c>
      <c r="B8" s="14">
        <v>0.0874</v>
      </c>
      <c r="C8" s="14">
        <v>-0.2276</v>
      </c>
      <c r="D8" s="14">
        <v>1</v>
      </c>
      <c r="E8" s="15">
        <v>4</v>
      </c>
      <c r="F8" s="14">
        <v>5</v>
      </c>
      <c r="G8" s="14">
        <v>2</v>
      </c>
    </row>
    <row r="9" spans="1:7">
      <c r="A9" s="2" t="s">
        <v>17</v>
      </c>
      <c r="B9" s="14">
        <v>-0.38295</v>
      </c>
      <c r="C9" s="14">
        <v>-0.75013</v>
      </c>
      <c r="D9" s="14">
        <v>6</v>
      </c>
      <c r="E9" s="15">
        <v>4</v>
      </c>
      <c r="F9" s="14">
        <v>5</v>
      </c>
      <c r="G9" s="14">
        <v>1</v>
      </c>
    </row>
    <row r="10" spans="1:7">
      <c r="A10" s="2" t="s">
        <v>18</v>
      </c>
      <c r="B10" s="14">
        <v>-0.00942</v>
      </c>
      <c r="C10" s="14">
        <v>0.13009</v>
      </c>
      <c r="D10" s="14">
        <v>1</v>
      </c>
      <c r="E10" s="15">
        <v>1</v>
      </c>
      <c r="F10" s="14">
        <v>5</v>
      </c>
      <c r="G10" s="14">
        <v>2</v>
      </c>
    </row>
    <row r="11" spans="1:7">
      <c r="A11" s="2" t="s">
        <v>19</v>
      </c>
      <c r="B11" s="14">
        <v>-0.1484</v>
      </c>
      <c r="C11" s="14">
        <v>-0.65796</v>
      </c>
      <c r="D11" s="14">
        <v>6</v>
      </c>
      <c r="E11" s="15">
        <v>4</v>
      </c>
      <c r="F11" s="14">
        <v>4</v>
      </c>
      <c r="G11" s="14">
        <v>4</v>
      </c>
    </row>
    <row r="12" spans="1:7">
      <c r="A12" s="2" t="s">
        <v>20</v>
      </c>
      <c r="B12" s="14">
        <v>0.62051</v>
      </c>
      <c r="C12" s="14">
        <v>-1.33405</v>
      </c>
      <c r="D12" s="14">
        <v>5</v>
      </c>
      <c r="E12" s="15">
        <v>5</v>
      </c>
      <c r="F12" s="14">
        <v>2</v>
      </c>
      <c r="G12" s="14">
        <v>6</v>
      </c>
    </row>
    <row r="13" spans="1:7">
      <c r="A13" s="2" t="s">
        <v>21</v>
      </c>
      <c r="B13" s="14">
        <v>0.76503</v>
      </c>
      <c r="C13" s="14">
        <v>-1.33144</v>
      </c>
      <c r="D13" s="14">
        <v>5</v>
      </c>
      <c r="E13" s="15">
        <v>5</v>
      </c>
      <c r="F13" s="14">
        <v>1</v>
      </c>
      <c r="G13" s="14">
        <v>7</v>
      </c>
    </row>
    <row r="14" spans="1:7">
      <c r="A14" s="2" t="s">
        <v>22</v>
      </c>
      <c r="B14" s="14">
        <v>0.01285</v>
      </c>
      <c r="C14" s="14">
        <v>-0.60808</v>
      </c>
      <c r="D14" s="14">
        <v>6</v>
      </c>
      <c r="E14" s="15">
        <v>4</v>
      </c>
      <c r="F14" s="14">
        <v>1</v>
      </c>
      <c r="G14" s="14">
        <v>7</v>
      </c>
    </row>
    <row r="15" spans="1:7">
      <c r="A15" s="2" t="s">
        <v>23</v>
      </c>
      <c r="B15" s="14">
        <v>0.0659</v>
      </c>
      <c r="C15" s="14">
        <v>-0.01235</v>
      </c>
      <c r="D15" s="14">
        <v>1</v>
      </c>
      <c r="E15" s="15">
        <v>1</v>
      </c>
      <c r="F15" s="14">
        <v>5</v>
      </c>
      <c r="G15" s="14">
        <v>2</v>
      </c>
    </row>
    <row r="16" spans="1:7">
      <c r="A16" s="2" t="s">
        <v>24</v>
      </c>
      <c r="B16" s="14">
        <v>0.17991</v>
      </c>
      <c r="C16" s="14">
        <v>-0.07034</v>
      </c>
      <c r="D16" s="14">
        <v>1</v>
      </c>
      <c r="E16" s="15">
        <v>1</v>
      </c>
      <c r="F16" s="14">
        <v>5</v>
      </c>
      <c r="G16" s="14">
        <v>2</v>
      </c>
    </row>
    <row r="17" spans="1:7">
      <c r="A17" s="2" t="s">
        <v>25</v>
      </c>
      <c r="B17" s="14">
        <v>-1.71247</v>
      </c>
      <c r="C17" s="14">
        <v>0.15467</v>
      </c>
      <c r="D17" s="14">
        <v>7</v>
      </c>
      <c r="E17" s="15">
        <v>3</v>
      </c>
      <c r="F17" s="14">
        <v>7</v>
      </c>
      <c r="G17" s="14">
        <v>3</v>
      </c>
    </row>
    <row r="18" spans="1:7">
      <c r="A18" s="2" t="s">
        <v>26</v>
      </c>
      <c r="B18" s="14">
        <v>0.1995</v>
      </c>
      <c r="C18" s="14">
        <v>-0.9615</v>
      </c>
      <c r="D18" s="14">
        <v>6</v>
      </c>
      <c r="E18" s="15">
        <v>5</v>
      </c>
      <c r="F18" s="14">
        <v>6</v>
      </c>
      <c r="G18" s="14">
        <v>1</v>
      </c>
    </row>
    <row r="19" spans="1:7">
      <c r="A19" s="2" t="s">
        <v>27</v>
      </c>
      <c r="B19" s="14">
        <v>-0.42286</v>
      </c>
      <c r="C19" s="14">
        <v>0.0498</v>
      </c>
      <c r="D19" s="14">
        <v>2</v>
      </c>
      <c r="E19" s="15">
        <v>3</v>
      </c>
      <c r="F19" s="14">
        <v>5</v>
      </c>
      <c r="G19" s="14">
        <v>1</v>
      </c>
    </row>
    <row r="20" spans="1:7">
      <c r="A20" s="2" t="s">
        <v>28</v>
      </c>
      <c r="B20" s="14">
        <v>2.21276</v>
      </c>
      <c r="C20" s="14">
        <v>-0.65409</v>
      </c>
      <c r="D20" s="14">
        <v>5</v>
      </c>
      <c r="E20" s="15">
        <v>6</v>
      </c>
      <c r="F20" s="14">
        <v>6</v>
      </c>
      <c r="G20" s="14">
        <v>6</v>
      </c>
    </row>
    <row r="21" spans="1:7">
      <c r="A21" s="2" t="s">
        <v>29</v>
      </c>
      <c r="B21" s="14">
        <v>-1.45717</v>
      </c>
      <c r="C21" s="14">
        <v>0.73408</v>
      </c>
      <c r="D21" s="14">
        <v>7</v>
      </c>
      <c r="E21" s="15">
        <v>7</v>
      </c>
      <c r="F21" s="14">
        <v>7</v>
      </c>
      <c r="G21" s="14">
        <v>3</v>
      </c>
    </row>
    <row r="22" spans="1:7">
      <c r="A22" s="2" t="s">
        <v>30</v>
      </c>
      <c r="B22" s="14">
        <v>0.00058</v>
      </c>
      <c r="C22" s="14">
        <v>-0.38462</v>
      </c>
      <c r="D22" s="14">
        <v>6</v>
      </c>
      <c r="E22" s="15">
        <v>4</v>
      </c>
      <c r="F22" s="14">
        <v>5</v>
      </c>
      <c r="G22" s="14">
        <v>4</v>
      </c>
    </row>
    <row r="23" spans="1:7">
      <c r="A23" s="2" t="s">
        <v>31</v>
      </c>
      <c r="B23" s="14">
        <v>6e-5</v>
      </c>
      <c r="C23" s="14">
        <v>0.12006</v>
      </c>
      <c r="D23" s="14">
        <v>1</v>
      </c>
      <c r="E23" s="15">
        <v>1</v>
      </c>
      <c r="F23" s="14">
        <v>5</v>
      </c>
      <c r="G23" s="14">
        <v>2</v>
      </c>
    </row>
    <row r="24" spans="1:7">
      <c r="A24" s="2" t="s">
        <v>32</v>
      </c>
      <c r="B24" s="14">
        <v>0.18228</v>
      </c>
      <c r="C24" s="14">
        <v>-0.31958</v>
      </c>
      <c r="D24" s="14">
        <v>1</v>
      </c>
      <c r="E24" s="15">
        <v>4</v>
      </c>
      <c r="F24" s="14">
        <v>5</v>
      </c>
      <c r="G24" s="14">
        <v>4</v>
      </c>
    </row>
    <row r="25" spans="1:7">
      <c r="A25" s="2" t="s">
        <v>33</v>
      </c>
      <c r="B25" s="14">
        <v>0.12219</v>
      </c>
      <c r="C25" s="14">
        <v>-1.17465</v>
      </c>
      <c r="D25" s="14">
        <v>6</v>
      </c>
      <c r="E25" s="15">
        <v>5</v>
      </c>
      <c r="F25" s="14">
        <v>2</v>
      </c>
      <c r="G25" s="14">
        <v>1</v>
      </c>
    </row>
    <row r="26" spans="1:7">
      <c r="A26" s="2" t="s">
        <v>34</v>
      </c>
      <c r="B26" s="14">
        <v>0.22793</v>
      </c>
      <c r="C26" s="14">
        <v>-0.66235</v>
      </c>
      <c r="D26" s="14">
        <v>6</v>
      </c>
      <c r="E26" s="15">
        <v>4</v>
      </c>
      <c r="F26" s="14">
        <v>5</v>
      </c>
      <c r="G26" s="14">
        <v>1</v>
      </c>
    </row>
    <row r="27" spans="1:7">
      <c r="A27" s="2" t="s">
        <v>35</v>
      </c>
      <c r="B27" s="14">
        <v>-0.01495</v>
      </c>
      <c r="C27" s="14">
        <v>0.76751</v>
      </c>
      <c r="D27" s="14">
        <v>1</v>
      </c>
      <c r="E27" s="15">
        <v>1</v>
      </c>
      <c r="F27" s="14">
        <v>4</v>
      </c>
      <c r="G27" s="14">
        <v>4</v>
      </c>
    </row>
    <row r="28" spans="1:7">
      <c r="A28" s="2" t="s">
        <v>36</v>
      </c>
      <c r="B28" s="14">
        <v>-0.37179</v>
      </c>
      <c r="C28" s="14">
        <v>-0.76622</v>
      </c>
      <c r="D28" s="14">
        <v>6</v>
      </c>
      <c r="E28" s="15">
        <v>4</v>
      </c>
      <c r="F28" s="14">
        <v>5</v>
      </c>
      <c r="G28" s="14">
        <v>1</v>
      </c>
    </row>
    <row r="29" spans="1:7">
      <c r="A29" s="2" t="s">
        <v>37</v>
      </c>
      <c r="B29" s="14">
        <v>-0.88603</v>
      </c>
      <c r="C29" s="14">
        <v>0.11569</v>
      </c>
      <c r="D29" s="14">
        <v>2</v>
      </c>
      <c r="E29" s="15">
        <v>3</v>
      </c>
      <c r="F29" s="14">
        <v>2</v>
      </c>
      <c r="G29" s="14">
        <v>1</v>
      </c>
    </row>
    <row r="30" spans="1:7">
      <c r="A30" s="2" t="s">
        <v>38</v>
      </c>
      <c r="B30" s="14">
        <v>-0.19344</v>
      </c>
      <c r="C30" s="14">
        <v>-0.42577</v>
      </c>
      <c r="D30" s="14">
        <v>6</v>
      </c>
      <c r="E30" s="15">
        <v>4</v>
      </c>
      <c r="F30" s="14">
        <v>4</v>
      </c>
      <c r="G30" s="14">
        <v>4</v>
      </c>
    </row>
    <row r="31" spans="1:7">
      <c r="A31" s="2" t="s">
        <v>39</v>
      </c>
      <c r="B31" s="14">
        <v>1.79355</v>
      </c>
      <c r="C31" s="14">
        <v>0.64091</v>
      </c>
      <c r="D31" s="14">
        <v>4</v>
      </c>
      <c r="E31" s="15">
        <v>6</v>
      </c>
      <c r="F31" s="14">
        <v>6</v>
      </c>
      <c r="G31" s="14">
        <v>6</v>
      </c>
    </row>
    <row r="32" spans="1:7">
      <c r="A32" s="2" t="s">
        <v>40</v>
      </c>
      <c r="B32" s="14">
        <v>-0.08775</v>
      </c>
      <c r="C32" s="14">
        <v>-0.66854</v>
      </c>
      <c r="D32" s="14">
        <v>6</v>
      </c>
      <c r="E32" s="15">
        <v>4</v>
      </c>
      <c r="F32" s="14">
        <v>2</v>
      </c>
      <c r="G32" s="14">
        <v>1</v>
      </c>
    </row>
    <row r="33" spans="1:7">
      <c r="A33" s="2" t="s">
        <v>41</v>
      </c>
      <c r="B33" s="14">
        <v>1.34158</v>
      </c>
      <c r="C33" s="14">
        <v>-0.0008</v>
      </c>
      <c r="D33" s="14">
        <v>4</v>
      </c>
      <c r="E33" s="15">
        <v>6</v>
      </c>
      <c r="F33" s="14">
        <v>6</v>
      </c>
      <c r="G33" s="14">
        <v>6</v>
      </c>
    </row>
    <row r="34" spans="1:7">
      <c r="A34" s="2" t="s">
        <v>42</v>
      </c>
      <c r="B34" s="14">
        <v>1.92599</v>
      </c>
      <c r="C34" s="14">
        <v>5.20752</v>
      </c>
      <c r="D34" s="14">
        <v>3</v>
      </c>
      <c r="E34" s="15">
        <v>2</v>
      </c>
      <c r="F34" s="14">
        <v>3</v>
      </c>
      <c r="G34" s="14">
        <v>5</v>
      </c>
    </row>
    <row r="35" spans="1:7">
      <c r="A35" s="2" t="s">
        <v>43</v>
      </c>
      <c r="B35" s="14">
        <v>0.29187</v>
      </c>
      <c r="C35" s="14">
        <v>-0.16302</v>
      </c>
      <c r="D35" s="14">
        <v>1</v>
      </c>
      <c r="E35" s="15">
        <v>1</v>
      </c>
      <c r="F35" s="14">
        <v>5</v>
      </c>
      <c r="G35" s="14">
        <v>2</v>
      </c>
    </row>
    <row r="36" spans="1:7">
      <c r="A36" s="2" t="s">
        <v>44</v>
      </c>
      <c r="B36" s="14">
        <v>0.06339</v>
      </c>
      <c r="C36" s="14">
        <v>-0.13168</v>
      </c>
      <c r="D36" s="14">
        <v>1</v>
      </c>
      <c r="E36" s="15">
        <v>1</v>
      </c>
      <c r="F36" s="14">
        <v>4</v>
      </c>
      <c r="G36" s="14">
        <v>4</v>
      </c>
    </row>
    <row r="37" spans="1:7">
      <c r="A37" s="2" t="s">
        <v>45</v>
      </c>
      <c r="B37" s="14">
        <v>0.11755</v>
      </c>
      <c r="C37" s="14">
        <v>-0.74204</v>
      </c>
      <c r="D37" s="14">
        <v>6</v>
      </c>
      <c r="E37" s="15">
        <v>4</v>
      </c>
      <c r="F37" s="14">
        <v>5</v>
      </c>
      <c r="G37" s="14">
        <v>1</v>
      </c>
    </row>
    <row r="38" spans="1:7">
      <c r="A38" s="2" t="s">
        <v>46</v>
      </c>
      <c r="B38" s="14">
        <v>0.04683</v>
      </c>
      <c r="C38" s="14">
        <v>-0.7824</v>
      </c>
      <c r="D38" s="14">
        <v>6</v>
      </c>
      <c r="E38" s="15">
        <v>4</v>
      </c>
      <c r="F38" s="14">
        <v>5</v>
      </c>
      <c r="G38" s="14">
        <v>7</v>
      </c>
    </row>
    <row r="39" spans="1:7">
      <c r="A39" s="2" t="s">
        <v>47</v>
      </c>
      <c r="B39" s="14">
        <v>-0.28975</v>
      </c>
      <c r="C39" s="14">
        <v>-0.12187</v>
      </c>
      <c r="D39" s="14">
        <v>2</v>
      </c>
      <c r="E39" s="15">
        <v>4</v>
      </c>
      <c r="F39" s="14">
        <v>4</v>
      </c>
      <c r="G39" s="14">
        <v>4</v>
      </c>
    </row>
    <row r="40" spans="1:7">
      <c r="A40" s="2" t="s">
        <v>48</v>
      </c>
      <c r="B40" s="14">
        <v>0.1312</v>
      </c>
      <c r="C40" s="14">
        <v>0.32661</v>
      </c>
      <c r="D40" s="14">
        <v>1</v>
      </c>
      <c r="E40" s="15">
        <v>1</v>
      </c>
      <c r="F40" s="14">
        <v>5</v>
      </c>
      <c r="G40" s="14">
        <v>2</v>
      </c>
    </row>
    <row r="41" spans="1:7">
      <c r="A41" s="2" t="s">
        <v>49</v>
      </c>
      <c r="B41" s="14">
        <v>-0.35122</v>
      </c>
      <c r="C41" s="14">
        <v>-0.00894</v>
      </c>
      <c r="D41" s="14">
        <v>2</v>
      </c>
      <c r="E41" s="15">
        <v>3</v>
      </c>
      <c r="F41" s="14">
        <v>4</v>
      </c>
      <c r="G41" s="14">
        <v>4</v>
      </c>
    </row>
    <row r="42" spans="1:7">
      <c r="A42" s="2" t="s">
        <v>50</v>
      </c>
      <c r="B42" s="14">
        <v>-0.00787</v>
      </c>
      <c r="C42" s="14">
        <v>-0.09799</v>
      </c>
      <c r="D42" s="14">
        <v>1</v>
      </c>
      <c r="E42" s="15">
        <v>1</v>
      </c>
      <c r="F42" s="14">
        <v>5</v>
      </c>
      <c r="G42" s="14">
        <v>1</v>
      </c>
    </row>
    <row r="43" spans="1:7">
      <c r="A43" s="2" t="s">
        <v>51</v>
      </c>
      <c r="B43" s="14">
        <v>0.73992</v>
      </c>
      <c r="C43" s="14">
        <v>-1.05497</v>
      </c>
      <c r="D43" s="14">
        <v>5</v>
      </c>
      <c r="E43" s="15">
        <v>5</v>
      </c>
      <c r="F43" s="14">
        <v>6</v>
      </c>
      <c r="G43" s="14">
        <v>6</v>
      </c>
    </row>
    <row r="44" spans="1:7">
      <c r="A44" s="2" t="s">
        <v>52</v>
      </c>
      <c r="B44" s="14">
        <v>0.00436</v>
      </c>
      <c r="C44" s="14">
        <v>-0.44791</v>
      </c>
      <c r="D44" s="14">
        <v>6</v>
      </c>
      <c r="E44" s="15">
        <v>4</v>
      </c>
      <c r="F44" s="14">
        <v>5</v>
      </c>
      <c r="G44" s="14">
        <v>1</v>
      </c>
    </row>
    <row r="45" spans="1:7">
      <c r="A45" s="2" t="s">
        <v>53</v>
      </c>
      <c r="B45" s="14">
        <v>-0.99826</v>
      </c>
      <c r="C45" s="14">
        <v>0.35592</v>
      </c>
      <c r="D45" s="14">
        <v>2</v>
      </c>
      <c r="E45" s="15">
        <v>3</v>
      </c>
      <c r="F45" s="14">
        <v>7</v>
      </c>
      <c r="G45" s="14">
        <v>1</v>
      </c>
    </row>
    <row r="46" spans="1:7">
      <c r="A46" s="2" t="s">
        <v>54</v>
      </c>
      <c r="B46" s="14">
        <v>-0.35773</v>
      </c>
      <c r="C46" s="14">
        <v>0.258</v>
      </c>
      <c r="D46" s="14">
        <v>2</v>
      </c>
      <c r="E46" s="15">
        <v>3</v>
      </c>
      <c r="F46" s="14">
        <v>1</v>
      </c>
      <c r="G46" s="14">
        <v>7</v>
      </c>
    </row>
    <row r="47" spans="1:7">
      <c r="A47" s="2" t="s">
        <v>55</v>
      </c>
      <c r="B47" s="14">
        <v>0.01642</v>
      </c>
      <c r="C47" s="14">
        <v>0.12266</v>
      </c>
      <c r="D47" s="14">
        <v>1</v>
      </c>
      <c r="E47" s="15">
        <v>1</v>
      </c>
      <c r="F47" s="14">
        <v>4</v>
      </c>
      <c r="G47" s="14">
        <v>4</v>
      </c>
    </row>
    <row r="48" spans="1:7">
      <c r="A48" s="2" t="s">
        <v>56</v>
      </c>
      <c r="B48" s="14">
        <v>-0.49331</v>
      </c>
      <c r="C48" s="14">
        <v>0.24087</v>
      </c>
      <c r="D48" s="14">
        <v>2</v>
      </c>
      <c r="E48" s="15">
        <v>3</v>
      </c>
      <c r="F48" s="14">
        <v>5</v>
      </c>
      <c r="G48" s="14">
        <v>1</v>
      </c>
    </row>
    <row r="49" spans="1:7">
      <c r="A49" s="2" t="s">
        <v>57</v>
      </c>
      <c r="B49" s="14">
        <v>-1.9956</v>
      </c>
      <c r="C49" s="14">
        <v>0.94367</v>
      </c>
      <c r="D49" s="14">
        <v>7</v>
      </c>
      <c r="E49" s="15">
        <v>7</v>
      </c>
      <c r="F49" s="14">
        <v>7</v>
      </c>
      <c r="G49" s="14">
        <v>3</v>
      </c>
    </row>
    <row r="50" spans="1:7">
      <c r="A50" s="2" t="s">
        <v>58</v>
      </c>
      <c r="B50" s="14">
        <v>-3.97922</v>
      </c>
      <c r="C50" s="14">
        <v>3.26655</v>
      </c>
      <c r="D50" s="14">
        <v>7</v>
      </c>
      <c r="E50" s="15">
        <v>7</v>
      </c>
      <c r="F50" s="14">
        <v>7</v>
      </c>
      <c r="G50" s="14">
        <v>3</v>
      </c>
    </row>
    <row r="51" spans="1:7">
      <c r="A51" s="2" t="s">
        <v>59</v>
      </c>
      <c r="B51" s="14">
        <v>-1.22607</v>
      </c>
      <c r="C51" s="14">
        <v>1.04421</v>
      </c>
      <c r="D51" s="14">
        <v>7</v>
      </c>
      <c r="E51" s="15">
        <v>7</v>
      </c>
      <c r="F51" s="14">
        <v>7</v>
      </c>
      <c r="G51" s="14">
        <v>3</v>
      </c>
    </row>
    <row r="52" spans="1:7">
      <c r="A52" s="2" t="s">
        <v>60</v>
      </c>
      <c r="B52" s="14">
        <v>1.41989</v>
      </c>
      <c r="C52" s="14">
        <v>0.95637</v>
      </c>
      <c r="D52" s="14">
        <v>4</v>
      </c>
      <c r="E52" s="15">
        <v>6</v>
      </c>
      <c r="F52" s="14">
        <v>6</v>
      </c>
      <c r="G52" s="14">
        <v>2</v>
      </c>
    </row>
    <row r="53" spans="1:7">
      <c r="A53" s="2" t="s">
        <v>61</v>
      </c>
      <c r="B53" s="14">
        <v>0.64645</v>
      </c>
      <c r="C53" s="14">
        <v>1.04735</v>
      </c>
      <c r="D53" s="14">
        <v>4</v>
      </c>
      <c r="E53" s="15">
        <v>1</v>
      </c>
      <c r="F53" s="14">
        <v>6</v>
      </c>
      <c r="G53" s="14">
        <v>2</v>
      </c>
    </row>
    <row r="54" spans="1:7">
      <c r="A54" s="2" t="s">
        <v>62</v>
      </c>
      <c r="B54" s="14">
        <v>-0.5859</v>
      </c>
      <c r="C54" s="14">
        <v>-0.99856</v>
      </c>
      <c r="D54" s="14">
        <v>6</v>
      </c>
      <c r="E54" s="15">
        <v>4</v>
      </c>
      <c r="F54" s="14">
        <v>5</v>
      </c>
      <c r="G54" s="14">
        <v>1</v>
      </c>
    </row>
    <row r="55" spans="1:7">
      <c r="A55" s="2" t="s">
        <v>63</v>
      </c>
      <c r="B55" s="14">
        <v>-0.62304</v>
      </c>
      <c r="C55" s="14">
        <v>0.38744</v>
      </c>
      <c r="D55" s="14">
        <v>2</v>
      </c>
      <c r="E55" s="15">
        <v>3</v>
      </c>
      <c r="F55" s="14">
        <v>4</v>
      </c>
      <c r="G55" s="14">
        <v>4</v>
      </c>
    </row>
    <row r="56" spans="1:7">
      <c r="A56" s="2" t="s">
        <v>64</v>
      </c>
      <c r="B56" s="14">
        <v>-0.84027</v>
      </c>
      <c r="C56" s="14">
        <v>0.02406</v>
      </c>
      <c r="D56" s="14">
        <v>2</v>
      </c>
      <c r="E56" s="15">
        <v>3</v>
      </c>
      <c r="F56" s="14">
        <v>4</v>
      </c>
      <c r="G56" s="14">
        <v>4</v>
      </c>
    </row>
    <row r="57" spans="1:7">
      <c r="A57" s="2" t="s">
        <v>65</v>
      </c>
      <c r="B57" s="14">
        <v>0.77969</v>
      </c>
      <c r="C57" s="14">
        <v>0.86121</v>
      </c>
      <c r="D57" s="14">
        <v>4</v>
      </c>
      <c r="E57" s="15">
        <v>1</v>
      </c>
      <c r="F57" s="14">
        <v>6</v>
      </c>
      <c r="G57" s="14">
        <v>2</v>
      </c>
    </row>
    <row r="58" spans="1:7">
      <c r="A58" s="2" t="s">
        <v>66</v>
      </c>
      <c r="B58" s="14">
        <v>-1.37514</v>
      </c>
      <c r="C58" s="14">
        <v>0.84234</v>
      </c>
      <c r="D58" s="14">
        <v>7</v>
      </c>
      <c r="E58" s="15">
        <v>7</v>
      </c>
      <c r="F58" s="14">
        <v>7</v>
      </c>
      <c r="G58" s="14">
        <v>3</v>
      </c>
    </row>
    <row r="59" spans="1:7">
      <c r="A59" s="2" t="s">
        <v>67</v>
      </c>
      <c r="B59" s="14">
        <v>-0.24537</v>
      </c>
      <c r="C59" s="14">
        <v>-0.44979</v>
      </c>
      <c r="D59" s="14">
        <v>6</v>
      </c>
      <c r="E59" s="15">
        <v>4</v>
      </c>
      <c r="F59" s="14">
        <v>2</v>
      </c>
      <c r="G59" s="14">
        <v>1</v>
      </c>
    </row>
    <row r="60" spans="1:7">
      <c r="A60" s="2" t="s">
        <v>68</v>
      </c>
      <c r="B60" s="14">
        <v>-0.77461</v>
      </c>
      <c r="C60" s="14">
        <v>0.89102</v>
      </c>
      <c r="D60" s="14">
        <v>7</v>
      </c>
      <c r="E60" s="15">
        <v>3</v>
      </c>
      <c r="F60" s="14">
        <v>5</v>
      </c>
      <c r="G60" s="14">
        <v>4</v>
      </c>
    </row>
    <row r="61" spans="1:7">
      <c r="A61" s="2" t="s">
        <v>69</v>
      </c>
      <c r="B61" s="14">
        <v>-0.12972</v>
      </c>
      <c r="C61" s="14">
        <v>-0.4446</v>
      </c>
      <c r="D61" s="14">
        <v>6</v>
      </c>
      <c r="E61" s="15">
        <v>4</v>
      </c>
      <c r="F61" s="14">
        <v>5</v>
      </c>
      <c r="G61" s="14">
        <v>1</v>
      </c>
    </row>
    <row r="62" spans="1:7">
      <c r="A62" s="2" t="s">
        <v>70</v>
      </c>
      <c r="B62" s="14">
        <v>-0.09056</v>
      </c>
      <c r="C62" s="14">
        <v>-0.37447</v>
      </c>
      <c r="D62" s="14">
        <v>6</v>
      </c>
      <c r="E62" s="15">
        <v>4</v>
      </c>
      <c r="F62" s="14">
        <v>4</v>
      </c>
      <c r="G62" s="14">
        <v>1</v>
      </c>
    </row>
    <row r="63" spans="1:7">
      <c r="A63" s="2" t="s">
        <v>71</v>
      </c>
      <c r="B63" s="14">
        <v>-0.27851</v>
      </c>
      <c r="C63" s="14">
        <v>-0.34159</v>
      </c>
      <c r="D63" s="14">
        <v>6</v>
      </c>
      <c r="E63" s="15">
        <v>4</v>
      </c>
      <c r="F63" s="14">
        <v>4</v>
      </c>
      <c r="G63" s="14">
        <v>1</v>
      </c>
    </row>
    <row r="64" spans="1:7">
      <c r="A64" s="2" t="s">
        <v>72</v>
      </c>
      <c r="B64" s="14">
        <v>-0.18989</v>
      </c>
      <c r="C64" s="14">
        <v>-0.20383</v>
      </c>
      <c r="D64" s="14">
        <v>6</v>
      </c>
      <c r="E64" s="15">
        <v>4</v>
      </c>
      <c r="F64" s="14">
        <v>5</v>
      </c>
      <c r="G64" s="14">
        <v>1</v>
      </c>
    </row>
    <row r="65" spans="1:7">
      <c r="A65" s="2" t="s">
        <v>73</v>
      </c>
      <c r="B65" s="14">
        <v>1.42973</v>
      </c>
      <c r="C65" s="14">
        <v>-1.10317</v>
      </c>
      <c r="D65" s="14">
        <v>5</v>
      </c>
      <c r="E65" s="15">
        <v>5</v>
      </c>
      <c r="F65" s="14">
        <v>6</v>
      </c>
      <c r="G65" s="14">
        <v>6</v>
      </c>
    </row>
    <row r="66" spans="1:7">
      <c r="A66" s="2" t="s">
        <v>74</v>
      </c>
      <c r="B66" s="14">
        <v>-0.39689</v>
      </c>
      <c r="C66" s="14">
        <v>-0.437</v>
      </c>
      <c r="D66" s="14">
        <v>6</v>
      </c>
      <c r="E66" s="15">
        <v>4</v>
      </c>
      <c r="F66" s="14">
        <v>5</v>
      </c>
      <c r="G66" s="14">
        <v>1</v>
      </c>
    </row>
    <row r="67" spans="1:7">
      <c r="A67" s="2" t="s">
        <v>75</v>
      </c>
      <c r="B67" s="14">
        <v>1.66312</v>
      </c>
      <c r="C67" s="14">
        <v>-0.68806</v>
      </c>
      <c r="D67" s="14">
        <v>5</v>
      </c>
      <c r="E67" s="15">
        <v>6</v>
      </c>
      <c r="F67" s="14">
        <v>6</v>
      </c>
      <c r="G67" s="14">
        <v>6</v>
      </c>
    </row>
    <row r="68" spans="1:7">
      <c r="A68" s="2" t="s">
        <v>76</v>
      </c>
      <c r="B68" s="14">
        <v>0.5415</v>
      </c>
      <c r="C68" s="14">
        <v>-0.66805</v>
      </c>
      <c r="D68" s="14">
        <v>6</v>
      </c>
      <c r="E68" s="15">
        <v>5</v>
      </c>
      <c r="F68" s="14">
        <v>5</v>
      </c>
      <c r="G68" s="14">
        <v>2</v>
      </c>
    </row>
    <row r="69" spans="1:7">
      <c r="A69" s="2" t="s">
        <v>77</v>
      </c>
      <c r="B69" s="14">
        <v>-0.72702</v>
      </c>
      <c r="C69" s="14">
        <v>-0.64157</v>
      </c>
      <c r="D69" s="14">
        <v>6</v>
      </c>
      <c r="E69" s="15">
        <v>4</v>
      </c>
      <c r="F69" s="14">
        <v>2</v>
      </c>
      <c r="G69" s="14">
        <v>1</v>
      </c>
    </row>
    <row r="70" spans="1:7">
      <c r="A70" s="2" t="s">
        <v>78</v>
      </c>
      <c r="B70" s="14">
        <v>-0.01757</v>
      </c>
      <c r="C70" s="14">
        <v>-0.41131</v>
      </c>
      <c r="D70" s="14">
        <v>6</v>
      </c>
      <c r="E70" s="15">
        <v>4</v>
      </c>
      <c r="F70" s="14">
        <v>4</v>
      </c>
      <c r="G70" s="14">
        <v>4</v>
      </c>
    </row>
    <row r="71" spans="1:7">
      <c r="A71" s="2" t="s">
        <v>79</v>
      </c>
      <c r="B71" s="14">
        <v>-0.7247</v>
      </c>
      <c r="C71" s="14">
        <v>-0.09349</v>
      </c>
      <c r="D71" s="14">
        <v>2</v>
      </c>
      <c r="E71" s="15">
        <v>3</v>
      </c>
      <c r="F71" s="14">
        <v>5</v>
      </c>
      <c r="G71" s="14">
        <v>1</v>
      </c>
    </row>
    <row r="72" spans="1:7">
      <c r="A72" s="2" t="s">
        <v>80</v>
      </c>
      <c r="B72" s="14">
        <v>-0.35801</v>
      </c>
      <c r="C72" s="14">
        <v>-0.00063</v>
      </c>
      <c r="D72" s="14">
        <v>2</v>
      </c>
      <c r="E72" s="15">
        <v>3</v>
      </c>
      <c r="F72" s="14">
        <v>4</v>
      </c>
      <c r="G72" s="14">
        <v>4</v>
      </c>
    </row>
    <row r="73" spans="1:7">
      <c r="A73" s="2" t="s">
        <v>81</v>
      </c>
      <c r="B73" s="14">
        <v>0.24085</v>
      </c>
      <c r="C73" s="14">
        <v>-0.13971</v>
      </c>
      <c r="D73" s="14">
        <v>1</v>
      </c>
      <c r="E73" s="15">
        <v>1</v>
      </c>
      <c r="F73" s="14">
        <v>4</v>
      </c>
      <c r="G73" s="14">
        <v>4</v>
      </c>
    </row>
    <row r="74" spans="1:7">
      <c r="A74" s="2" t="s">
        <v>82</v>
      </c>
      <c r="B74" s="14">
        <v>-0.03289</v>
      </c>
      <c r="C74" s="14">
        <v>-0.13615</v>
      </c>
      <c r="D74" s="14">
        <v>1</v>
      </c>
      <c r="E74" s="15">
        <v>4</v>
      </c>
      <c r="F74" s="14">
        <v>5</v>
      </c>
      <c r="G74" s="14">
        <v>1</v>
      </c>
    </row>
    <row r="75" spans="1:7">
      <c r="A75" s="2" t="s">
        <v>83</v>
      </c>
      <c r="B75" s="14">
        <v>-0.16539</v>
      </c>
      <c r="C75" s="14">
        <v>-0.58329</v>
      </c>
      <c r="D75" s="14">
        <v>6</v>
      </c>
      <c r="E75" s="15">
        <v>4</v>
      </c>
      <c r="F75" s="14">
        <v>5</v>
      </c>
      <c r="G75" s="14">
        <v>1</v>
      </c>
    </row>
    <row r="76" spans="1:7">
      <c r="A76" s="2" t="s">
        <v>84</v>
      </c>
      <c r="B76" s="14">
        <v>0.38304</v>
      </c>
      <c r="C76" s="14">
        <v>-0.60578</v>
      </c>
      <c r="D76" s="14">
        <v>6</v>
      </c>
      <c r="E76" s="15">
        <v>5</v>
      </c>
      <c r="F76" s="14">
        <v>4</v>
      </c>
      <c r="G76" s="14">
        <v>4</v>
      </c>
    </row>
    <row r="77" spans="1:7">
      <c r="A77" s="2" t="s">
        <v>85</v>
      </c>
      <c r="B77" s="14">
        <v>-0.30691</v>
      </c>
      <c r="C77" s="14">
        <v>0.11362</v>
      </c>
      <c r="D77" s="14">
        <v>2</v>
      </c>
      <c r="E77" s="15">
        <v>3</v>
      </c>
      <c r="F77" s="14">
        <v>4</v>
      </c>
      <c r="G77" s="14">
        <v>1</v>
      </c>
    </row>
    <row r="78" spans="1:7">
      <c r="A78" s="2" t="s">
        <v>86</v>
      </c>
      <c r="B78" s="14">
        <v>-0.46047</v>
      </c>
      <c r="C78" s="14">
        <v>-0.16881</v>
      </c>
      <c r="D78" s="14">
        <v>2</v>
      </c>
      <c r="E78" s="15">
        <v>3</v>
      </c>
      <c r="F78" s="14">
        <v>5</v>
      </c>
      <c r="G78" s="14">
        <v>1</v>
      </c>
    </row>
    <row r="79" spans="1:7">
      <c r="A79" s="2" t="s">
        <v>87</v>
      </c>
      <c r="B79" s="14">
        <v>0.76369</v>
      </c>
      <c r="C79" s="14">
        <v>-0.78897</v>
      </c>
      <c r="D79" s="14">
        <v>5</v>
      </c>
      <c r="E79" s="15">
        <v>5</v>
      </c>
      <c r="F79" s="14">
        <v>6</v>
      </c>
      <c r="G79" s="14">
        <v>6</v>
      </c>
    </row>
    <row r="80" spans="1:7">
      <c r="A80" s="2" t="s">
        <v>88</v>
      </c>
      <c r="B80" s="14">
        <v>0.93103</v>
      </c>
      <c r="C80" s="14">
        <v>0.11724</v>
      </c>
      <c r="D80" s="14">
        <v>4</v>
      </c>
      <c r="E80" s="15">
        <v>6</v>
      </c>
      <c r="F80" s="14">
        <v>6</v>
      </c>
      <c r="G80" s="14">
        <v>6</v>
      </c>
    </row>
    <row r="81" spans="1:7">
      <c r="A81" s="2" t="s">
        <v>89</v>
      </c>
      <c r="B81" s="14">
        <v>-0.11135</v>
      </c>
      <c r="C81" s="14">
        <v>-0.25867</v>
      </c>
      <c r="D81" s="14">
        <v>6</v>
      </c>
      <c r="E81" s="15">
        <v>4</v>
      </c>
      <c r="F81" s="14">
        <v>5</v>
      </c>
      <c r="G81" s="14">
        <v>1</v>
      </c>
    </row>
    <row r="82" spans="1:7">
      <c r="A82" s="2" t="s">
        <v>90</v>
      </c>
      <c r="B82" s="14">
        <v>-2.36579</v>
      </c>
      <c r="C82" s="14">
        <v>0.86405</v>
      </c>
      <c r="D82" s="14">
        <v>7</v>
      </c>
      <c r="E82" s="15">
        <v>7</v>
      </c>
      <c r="F82" s="14">
        <v>7</v>
      </c>
      <c r="G82" s="14">
        <v>3</v>
      </c>
    </row>
    <row r="83" spans="1:7">
      <c r="A83" s="2" t="s">
        <v>91</v>
      </c>
      <c r="B83" s="14">
        <v>-0.51143</v>
      </c>
      <c r="C83" s="14">
        <v>0.47232</v>
      </c>
      <c r="D83" s="14">
        <v>2</v>
      </c>
      <c r="E83" s="15">
        <v>3</v>
      </c>
      <c r="F83" s="14">
        <v>4</v>
      </c>
      <c r="G83" s="14">
        <v>4</v>
      </c>
    </row>
    <row r="84" spans="1:7">
      <c r="A84" s="2" t="s">
        <v>92</v>
      </c>
      <c r="B84" s="14">
        <v>3.40207</v>
      </c>
      <c r="C84" s="14">
        <v>4.09766</v>
      </c>
      <c r="D84" s="14">
        <v>3</v>
      </c>
      <c r="E84" s="15">
        <v>2</v>
      </c>
      <c r="F84" s="14">
        <v>3</v>
      </c>
      <c r="G84" s="14">
        <v>5</v>
      </c>
    </row>
    <row r="85" spans="1:7">
      <c r="A85" s="2" t="s">
        <v>93</v>
      </c>
      <c r="B85" s="14">
        <v>1.92839</v>
      </c>
      <c r="C85" s="14">
        <v>0.64555</v>
      </c>
      <c r="D85" s="14">
        <v>4</v>
      </c>
      <c r="E85" s="15">
        <v>6</v>
      </c>
      <c r="F85" s="14">
        <v>6</v>
      </c>
      <c r="G85" s="14">
        <v>6</v>
      </c>
    </row>
    <row r="86" spans="1:7">
      <c r="A86" s="2" t="s">
        <v>94</v>
      </c>
      <c r="B86" s="14">
        <v>0.30609</v>
      </c>
      <c r="C86" s="14">
        <v>-0.71163</v>
      </c>
      <c r="D86" s="14">
        <v>6</v>
      </c>
      <c r="E86" s="15">
        <v>5</v>
      </c>
      <c r="F86" s="14">
        <v>1</v>
      </c>
      <c r="G86" s="14">
        <v>7</v>
      </c>
    </row>
    <row r="87" spans="1:7">
      <c r="A87" s="16"/>
      <c r="B87" s="14">
        <f>SUBTOTAL(101,Таблица3[z1])</f>
        <v>3.52941176493799e-7</v>
      </c>
      <c r="C87" s="14">
        <f>SUBTOTAL(101,Таблица3[z2])</f>
        <v>-3.78781973107406e-17</v>
      </c>
      <c r="D87" s="14"/>
      <c r="F87" s="14"/>
      <c r="G87" s="14"/>
    </row>
    <row r="88" spans="1:10">
      <c r="A88" s="12" t="s">
        <v>207</v>
      </c>
      <c r="D88" s="12" t="s">
        <v>208</v>
      </c>
      <c r="G88" s="12" t="s">
        <v>205</v>
      </c>
      <c r="J88" s="12" t="s">
        <v>209</v>
      </c>
    </row>
    <row r="89" spans="1:12">
      <c r="A89" s="17">
        <v>1</v>
      </c>
      <c r="B89" s="17">
        <v>0.24728</v>
      </c>
      <c r="C89" s="17">
        <v>0.15524</v>
      </c>
      <c r="D89">
        <v>1</v>
      </c>
      <c r="E89" s="17">
        <v>0.24728</v>
      </c>
      <c r="F89" s="17">
        <v>0.15524</v>
      </c>
      <c r="G89" s="17">
        <v>1</v>
      </c>
      <c r="H89" s="17">
        <v>0.76503</v>
      </c>
      <c r="I89" s="17">
        <v>-1.33144</v>
      </c>
      <c r="J89" s="18">
        <v>1</v>
      </c>
      <c r="K89" s="17">
        <v>0.12219</v>
      </c>
      <c r="L89" s="17">
        <v>-1.17465</v>
      </c>
    </row>
    <row r="90" spans="1:12">
      <c r="A90" s="17">
        <v>1</v>
      </c>
      <c r="B90" s="17">
        <v>0.0874</v>
      </c>
      <c r="C90" s="17">
        <v>-0.2276</v>
      </c>
      <c r="D90">
        <v>1</v>
      </c>
      <c r="E90" s="17">
        <v>-0.00942</v>
      </c>
      <c r="F90" s="17">
        <v>0.13009</v>
      </c>
      <c r="G90" s="17">
        <v>1</v>
      </c>
      <c r="H90" s="17">
        <v>0.01285</v>
      </c>
      <c r="I90" s="17">
        <v>-0.60808</v>
      </c>
      <c r="J90" s="18">
        <v>1</v>
      </c>
      <c r="K90" s="17">
        <v>-0.88603</v>
      </c>
      <c r="L90" s="17">
        <v>0.11569</v>
      </c>
    </row>
    <row r="91" spans="1:12">
      <c r="A91" s="17">
        <v>1</v>
      </c>
      <c r="B91" s="17">
        <v>-0.00942</v>
      </c>
      <c r="C91" s="17">
        <v>0.13009</v>
      </c>
      <c r="D91">
        <v>1</v>
      </c>
      <c r="E91" s="17">
        <v>0.0659</v>
      </c>
      <c r="F91" s="17">
        <v>-0.01235</v>
      </c>
      <c r="G91" s="17">
        <v>1</v>
      </c>
      <c r="H91" s="17">
        <v>-0.35773</v>
      </c>
      <c r="I91" s="17">
        <v>0.258</v>
      </c>
      <c r="J91" s="18">
        <v>1</v>
      </c>
      <c r="K91" s="17">
        <v>-0.08775</v>
      </c>
      <c r="L91" s="17">
        <v>-0.66854</v>
      </c>
    </row>
    <row r="92" spans="1:12">
      <c r="A92" s="17">
        <v>1</v>
      </c>
      <c r="B92" s="17">
        <v>0.0659</v>
      </c>
      <c r="C92" s="17">
        <v>-0.01235</v>
      </c>
      <c r="D92">
        <v>1</v>
      </c>
      <c r="E92" s="17">
        <v>0.17991</v>
      </c>
      <c r="F92" s="17">
        <v>-0.07034</v>
      </c>
      <c r="G92" s="17">
        <v>1</v>
      </c>
      <c r="H92" s="17">
        <v>0.30609</v>
      </c>
      <c r="I92" s="17">
        <v>-0.71163</v>
      </c>
      <c r="J92" s="18">
        <v>1</v>
      </c>
      <c r="K92" s="17">
        <v>-0.24537</v>
      </c>
      <c r="L92" s="17">
        <v>-0.44979</v>
      </c>
    </row>
    <row r="93" spans="1:12">
      <c r="A93" s="17">
        <v>1</v>
      </c>
      <c r="B93" s="17">
        <v>0.17991</v>
      </c>
      <c r="C93" s="17">
        <v>-0.07034</v>
      </c>
      <c r="D93">
        <v>1</v>
      </c>
      <c r="E93" s="17">
        <v>6e-5</v>
      </c>
      <c r="F93" s="17">
        <v>0.12006</v>
      </c>
      <c r="G93" s="17">
        <v>2</v>
      </c>
      <c r="H93" s="17">
        <v>0.12219</v>
      </c>
      <c r="I93" s="17">
        <v>-1.17465</v>
      </c>
      <c r="J93" s="18">
        <v>1</v>
      </c>
      <c r="K93" s="17">
        <v>-0.72702</v>
      </c>
      <c r="L93" s="17">
        <v>-0.64157</v>
      </c>
    </row>
    <row r="94" spans="1:12">
      <c r="A94" s="17">
        <v>1</v>
      </c>
      <c r="B94" s="17">
        <v>6e-5</v>
      </c>
      <c r="C94" s="17">
        <v>0.12006</v>
      </c>
      <c r="D94">
        <v>1</v>
      </c>
      <c r="E94" s="17">
        <v>-0.01495</v>
      </c>
      <c r="F94" s="17">
        <v>0.76751</v>
      </c>
      <c r="G94" s="17">
        <v>2</v>
      </c>
      <c r="H94" s="17">
        <v>-0.88603</v>
      </c>
      <c r="I94" s="17">
        <v>0.11569</v>
      </c>
      <c r="J94" s="18">
        <v>1</v>
      </c>
      <c r="K94" s="17">
        <v>-0.27567</v>
      </c>
      <c r="L94" s="17">
        <v>-0.30688</v>
      </c>
    </row>
    <row r="95" spans="1:12">
      <c r="A95" s="17">
        <v>1</v>
      </c>
      <c r="B95" s="17">
        <v>0.18228</v>
      </c>
      <c r="C95" s="17">
        <v>-0.31958</v>
      </c>
      <c r="D95">
        <v>1</v>
      </c>
      <c r="E95" s="17">
        <v>0.29187</v>
      </c>
      <c r="F95" s="17">
        <v>-0.16302</v>
      </c>
      <c r="G95" s="17">
        <v>2</v>
      </c>
      <c r="H95" s="17">
        <v>-0.08775</v>
      </c>
      <c r="I95" s="17">
        <v>-0.66854</v>
      </c>
      <c r="J95" s="18">
        <v>1</v>
      </c>
      <c r="K95" s="17">
        <v>-0.09056</v>
      </c>
      <c r="L95" s="17">
        <v>-0.37447</v>
      </c>
    </row>
    <row r="96" spans="1:12">
      <c r="A96" s="17">
        <v>1</v>
      </c>
      <c r="B96" s="17">
        <v>-0.01495</v>
      </c>
      <c r="C96" s="17">
        <v>0.76751</v>
      </c>
      <c r="D96">
        <v>1</v>
      </c>
      <c r="E96" s="17">
        <v>0.06339</v>
      </c>
      <c r="F96" s="17">
        <v>-0.13168</v>
      </c>
      <c r="G96" s="17">
        <v>2</v>
      </c>
      <c r="H96" s="17">
        <v>-0.24537</v>
      </c>
      <c r="I96" s="17">
        <v>-0.44979</v>
      </c>
      <c r="J96" s="18">
        <v>1</v>
      </c>
      <c r="K96" s="17">
        <v>-0.27851</v>
      </c>
      <c r="L96" s="17">
        <v>-0.34159</v>
      </c>
    </row>
    <row r="97" spans="1:12">
      <c r="A97" s="17">
        <v>1</v>
      </c>
      <c r="B97" s="17">
        <v>0.29187</v>
      </c>
      <c r="C97" s="17">
        <v>-0.16302</v>
      </c>
      <c r="D97">
        <v>1</v>
      </c>
      <c r="E97" s="17">
        <v>0.1312</v>
      </c>
      <c r="F97" s="17">
        <v>0.32661</v>
      </c>
      <c r="G97" s="17">
        <v>2</v>
      </c>
      <c r="H97" s="17">
        <v>-0.72702</v>
      </c>
      <c r="I97" s="17">
        <v>-0.64157</v>
      </c>
      <c r="J97" s="18">
        <v>1</v>
      </c>
      <c r="K97" s="17">
        <v>-0.30691</v>
      </c>
      <c r="L97" s="17">
        <v>0.11362</v>
      </c>
    </row>
    <row r="98" spans="1:12">
      <c r="A98" s="17">
        <v>1</v>
      </c>
      <c r="B98" s="17">
        <v>0.06339</v>
      </c>
      <c r="C98" s="17">
        <v>-0.13168</v>
      </c>
      <c r="D98">
        <v>1</v>
      </c>
      <c r="E98" s="17">
        <v>-0.00787</v>
      </c>
      <c r="F98" s="17">
        <v>-0.09799</v>
      </c>
      <c r="G98" s="17">
        <v>2</v>
      </c>
      <c r="H98" s="17">
        <v>0.62051</v>
      </c>
      <c r="I98" s="17">
        <v>-1.33405</v>
      </c>
      <c r="J98" s="18">
        <v>1</v>
      </c>
      <c r="K98" s="17">
        <v>-0.71155</v>
      </c>
      <c r="L98" s="17">
        <v>0.04557</v>
      </c>
    </row>
    <row r="99" spans="1:12">
      <c r="A99" s="17">
        <v>1</v>
      </c>
      <c r="B99" s="17">
        <v>0.1312</v>
      </c>
      <c r="C99" s="17">
        <v>0.32661</v>
      </c>
      <c r="D99">
        <v>1</v>
      </c>
      <c r="E99" s="17">
        <v>0.01642</v>
      </c>
      <c r="F99" s="17">
        <v>0.12266</v>
      </c>
      <c r="G99" s="17">
        <v>3</v>
      </c>
      <c r="H99" s="17">
        <v>1.92599</v>
      </c>
      <c r="I99" s="17">
        <v>5.20752</v>
      </c>
      <c r="J99" s="18">
        <v>1</v>
      </c>
      <c r="K99" s="17">
        <v>-0.38295</v>
      </c>
      <c r="L99" s="17">
        <v>-0.75013</v>
      </c>
    </row>
    <row r="100" spans="1:12">
      <c r="A100" s="17">
        <v>1</v>
      </c>
      <c r="B100" s="17">
        <v>-0.00787</v>
      </c>
      <c r="C100" s="17">
        <v>-0.09799</v>
      </c>
      <c r="D100">
        <v>1</v>
      </c>
      <c r="E100" s="17">
        <v>0.24085</v>
      </c>
      <c r="F100" s="17">
        <v>-0.13971</v>
      </c>
      <c r="G100" s="17">
        <v>3</v>
      </c>
      <c r="H100" s="17">
        <v>3.40207</v>
      </c>
      <c r="I100" s="17">
        <v>4.09766</v>
      </c>
      <c r="J100" s="18">
        <v>1</v>
      </c>
      <c r="K100" s="17">
        <v>-0.42286</v>
      </c>
      <c r="L100" s="17">
        <v>0.0498</v>
      </c>
    </row>
    <row r="101" spans="1:12">
      <c r="A101" s="17">
        <v>1</v>
      </c>
      <c r="B101" s="17">
        <v>0.01642</v>
      </c>
      <c r="C101" s="17">
        <v>0.12266</v>
      </c>
      <c r="D101">
        <v>1</v>
      </c>
      <c r="E101" s="17">
        <v>0.64645</v>
      </c>
      <c r="F101" s="17">
        <v>1.04735</v>
      </c>
      <c r="G101" s="17">
        <v>4</v>
      </c>
      <c r="H101" s="17">
        <v>-0.27567</v>
      </c>
      <c r="I101" s="17">
        <v>-0.30688</v>
      </c>
      <c r="J101" s="18">
        <v>1</v>
      </c>
      <c r="K101" s="17">
        <v>0.22793</v>
      </c>
      <c r="L101" s="17">
        <v>-0.66235</v>
      </c>
    </row>
    <row r="102" spans="1:12">
      <c r="A102" s="17">
        <v>1</v>
      </c>
      <c r="B102" s="17">
        <v>0.24085</v>
      </c>
      <c r="C102" s="17">
        <v>-0.13971</v>
      </c>
      <c r="D102">
        <v>1</v>
      </c>
      <c r="E102" s="17">
        <v>0.77969</v>
      </c>
      <c r="F102" s="17">
        <v>0.86121</v>
      </c>
      <c r="G102" s="17">
        <v>4</v>
      </c>
      <c r="H102" s="17">
        <v>-0.09056</v>
      </c>
      <c r="I102" s="17">
        <v>-0.37447</v>
      </c>
      <c r="J102" s="18">
        <v>1</v>
      </c>
      <c r="K102" s="17">
        <v>-0.37179</v>
      </c>
      <c r="L102" s="17">
        <v>-0.76622</v>
      </c>
    </row>
    <row r="103" spans="1:12">
      <c r="A103" s="17">
        <v>1</v>
      </c>
      <c r="B103" s="17">
        <v>-0.03289</v>
      </c>
      <c r="C103" s="17">
        <v>-0.13615</v>
      </c>
      <c r="D103">
        <v>2</v>
      </c>
      <c r="E103" s="17">
        <v>1.92599</v>
      </c>
      <c r="F103" s="17">
        <v>5.20752</v>
      </c>
      <c r="G103" s="17">
        <v>4</v>
      </c>
      <c r="H103" s="17">
        <v>-0.27851</v>
      </c>
      <c r="I103" s="17">
        <v>-0.34159</v>
      </c>
      <c r="J103" s="18">
        <v>1</v>
      </c>
      <c r="K103" s="17">
        <v>0.11755</v>
      </c>
      <c r="L103" s="17">
        <v>-0.74204</v>
      </c>
    </row>
    <row r="104" spans="1:12">
      <c r="A104" s="17">
        <v>2</v>
      </c>
      <c r="B104" s="17">
        <v>-0.71155</v>
      </c>
      <c r="C104" s="17">
        <v>0.04557</v>
      </c>
      <c r="D104">
        <v>2</v>
      </c>
      <c r="E104" s="17">
        <v>3.40207</v>
      </c>
      <c r="F104" s="17">
        <v>4.09766</v>
      </c>
      <c r="G104" s="17">
        <v>4</v>
      </c>
      <c r="H104" s="17">
        <v>-0.30691</v>
      </c>
      <c r="I104" s="17">
        <v>0.11362</v>
      </c>
      <c r="J104" s="18">
        <v>1</v>
      </c>
      <c r="K104" s="17">
        <v>-0.00787</v>
      </c>
      <c r="L104" s="17">
        <v>-0.09799</v>
      </c>
    </row>
    <row r="105" spans="1:12">
      <c r="A105" s="17">
        <v>2</v>
      </c>
      <c r="B105" s="17">
        <v>-0.42286</v>
      </c>
      <c r="C105" s="17">
        <v>0.0498</v>
      </c>
      <c r="D105">
        <v>3</v>
      </c>
      <c r="E105" s="17">
        <v>-0.71155</v>
      </c>
      <c r="F105" s="17">
        <v>0.04557</v>
      </c>
      <c r="G105" s="17">
        <v>4</v>
      </c>
      <c r="H105" s="17">
        <v>0.24728</v>
      </c>
      <c r="I105" s="17">
        <v>0.15524</v>
      </c>
      <c r="J105" s="18">
        <v>1</v>
      </c>
      <c r="K105" s="17">
        <v>0.00436</v>
      </c>
      <c r="L105" s="17">
        <v>-0.44791</v>
      </c>
    </row>
    <row r="106" spans="1:12">
      <c r="A106" s="17">
        <v>2</v>
      </c>
      <c r="B106" s="17">
        <v>-0.88603</v>
      </c>
      <c r="C106" s="17">
        <v>0.11569</v>
      </c>
      <c r="D106">
        <v>3</v>
      </c>
      <c r="E106" s="17">
        <v>-1.71247</v>
      </c>
      <c r="F106" s="17">
        <v>0.15467</v>
      </c>
      <c r="G106" s="17">
        <v>4</v>
      </c>
      <c r="H106" s="17">
        <v>-0.03038</v>
      </c>
      <c r="I106" s="17">
        <v>-0.40819</v>
      </c>
      <c r="J106" s="18">
        <v>1</v>
      </c>
      <c r="K106" s="17">
        <v>-0.49331</v>
      </c>
      <c r="L106" s="17">
        <v>0.24087</v>
      </c>
    </row>
    <row r="107" spans="1:12">
      <c r="A107" s="17">
        <v>2</v>
      </c>
      <c r="B107" s="17">
        <v>-0.28975</v>
      </c>
      <c r="C107" s="17">
        <v>-0.12187</v>
      </c>
      <c r="D107">
        <v>3</v>
      </c>
      <c r="E107" s="17">
        <v>-0.42286</v>
      </c>
      <c r="F107" s="17">
        <v>0.0498</v>
      </c>
      <c r="G107" s="17">
        <v>4</v>
      </c>
      <c r="H107" s="17">
        <v>-0.1484</v>
      </c>
      <c r="I107" s="17">
        <v>-0.65796</v>
      </c>
      <c r="J107" s="18">
        <v>1</v>
      </c>
      <c r="K107" s="17">
        <v>-0.5859</v>
      </c>
      <c r="L107" s="17">
        <v>-0.99856</v>
      </c>
    </row>
    <row r="108" spans="1:12">
      <c r="A108" s="17">
        <v>2</v>
      </c>
      <c r="B108" s="17">
        <v>-0.35122</v>
      </c>
      <c r="C108" s="17">
        <v>-0.00894</v>
      </c>
      <c r="D108">
        <v>3</v>
      </c>
      <c r="E108" s="17">
        <v>-0.88603</v>
      </c>
      <c r="F108" s="17">
        <v>0.11569</v>
      </c>
      <c r="G108" s="17">
        <v>4</v>
      </c>
      <c r="H108" s="17">
        <v>-0.01495</v>
      </c>
      <c r="I108" s="17">
        <v>0.76751</v>
      </c>
      <c r="J108" s="18">
        <v>1</v>
      </c>
      <c r="K108" s="17">
        <v>-0.12972</v>
      </c>
      <c r="L108" s="17">
        <v>-0.4446</v>
      </c>
    </row>
    <row r="109" spans="1:12">
      <c r="A109" s="17">
        <v>2</v>
      </c>
      <c r="B109" s="17">
        <v>-0.99826</v>
      </c>
      <c r="C109" s="17">
        <v>0.35592</v>
      </c>
      <c r="D109">
        <v>3</v>
      </c>
      <c r="E109" s="17">
        <v>-0.35122</v>
      </c>
      <c r="F109" s="17">
        <v>-0.00894</v>
      </c>
      <c r="G109" s="17">
        <v>4</v>
      </c>
      <c r="H109" s="17">
        <v>-0.19344</v>
      </c>
      <c r="I109" s="17">
        <v>-0.42577</v>
      </c>
      <c r="J109" s="18">
        <v>1</v>
      </c>
      <c r="K109" s="17">
        <v>-0.18989</v>
      </c>
      <c r="L109" s="17">
        <v>-0.20383</v>
      </c>
    </row>
    <row r="110" spans="1:12">
      <c r="A110" s="17">
        <v>2</v>
      </c>
      <c r="B110" s="17">
        <v>-0.35773</v>
      </c>
      <c r="C110" s="17">
        <v>0.258</v>
      </c>
      <c r="D110">
        <v>3</v>
      </c>
      <c r="E110" s="17">
        <v>-0.99826</v>
      </c>
      <c r="F110" s="17">
        <v>0.35592</v>
      </c>
      <c r="G110" s="17">
        <v>4</v>
      </c>
      <c r="H110" s="17">
        <v>0.06339</v>
      </c>
      <c r="I110" s="17">
        <v>-0.13168</v>
      </c>
      <c r="J110" s="18">
        <v>1</v>
      </c>
      <c r="K110" s="17">
        <v>-0.39689</v>
      </c>
      <c r="L110" s="17">
        <v>-0.437</v>
      </c>
    </row>
    <row r="111" spans="1:12">
      <c r="A111" s="17">
        <v>2</v>
      </c>
      <c r="B111" s="17">
        <v>-0.49331</v>
      </c>
      <c r="C111" s="17">
        <v>0.24087</v>
      </c>
      <c r="D111">
        <v>3</v>
      </c>
      <c r="E111" s="17">
        <v>-0.35773</v>
      </c>
      <c r="F111" s="17">
        <v>0.258</v>
      </c>
      <c r="G111" s="17">
        <v>4</v>
      </c>
      <c r="H111" s="17">
        <v>-0.28975</v>
      </c>
      <c r="I111" s="17">
        <v>-0.12187</v>
      </c>
      <c r="J111" s="18">
        <v>1</v>
      </c>
      <c r="K111" s="17">
        <v>-0.7247</v>
      </c>
      <c r="L111" s="17">
        <v>-0.09349</v>
      </c>
    </row>
    <row r="112" spans="1:12">
      <c r="A112" s="17">
        <v>2</v>
      </c>
      <c r="B112" s="17">
        <v>-0.62304</v>
      </c>
      <c r="C112" s="17">
        <v>0.38744</v>
      </c>
      <c r="D112">
        <v>3</v>
      </c>
      <c r="E112" s="17">
        <v>-0.49331</v>
      </c>
      <c r="F112" s="17">
        <v>0.24087</v>
      </c>
      <c r="G112" s="17">
        <v>4</v>
      </c>
      <c r="H112" s="17">
        <v>-0.35122</v>
      </c>
      <c r="I112" s="17">
        <v>-0.00894</v>
      </c>
      <c r="J112" s="18">
        <v>1</v>
      </c>
      <c r="K112" s="17">
        <v>-0.03289</v>
      </c>
      <c r="L112" s="17">
        <v>-0.13615</v>
      </c>
    </row>
    <row r="113" spans="1:12">
      <c r="A113" s="17">
        <v>2</v>
      </c>
      <c r="B113" s="17">
        <v>-0.84027</v>
      </c>
      <c r="C113" s="17">
        <v>0.02406</v>
      </c>
      <c r="D113">
        <v>3</v>
      </c>
      <c r="E113" s="17">
        <v>-0.62304</v>
      </c>
      <c r="F113" s="17">
        <v>0.38744</v>
      </c>
      <c r="G113" s="17">
        <v>4</v>
      </c>
      <c r="H113" s="17">
        <v>0.01642</v>
      </c>
      <c r="I113" s="17">
        <v>0.12266</v>
      </c>
      <c r="J113" s="18">
        <v>1</v>
      </c>
      <c r="K113" s="17">
        <v>-0.16539</v>
      </c>
      <c r="L113" s="17">
        <v>-0.58329</v>
      </c>
    </row>
    <row r="114" spans="1:12">
      <c r="A114" s="17">
        <v>2</v>
      </c>
      <c r="B114" s="17">
        <v>-0.7247</v>
      </c>
      <c r="C114" s="17">
        <v>-0.09349</v>
      </c>
      <c r="D114">
        <v>3</v>
      </c>
      <c r="E114" s="17">
        <v>-0.84027</v>
      </c>
      <c r="F114" s="17">
        <v>0.02406</v>
      </c>
      <c r="G114" s="17">
        <v>4</v>
      </c>
      <c r="H114" s="17">
        <v>-0.62304</v>
      </c>
      <c r="I114" s="17">
        <v>0.38744</v>
      </c>
      <c r="J114" s="18">
        <v>1</v>
      </c>
      <c r="K114" s="17">
        <v>-0.46047</v>
      </c>
      <c r="L114" s="17">
        <v>-0.16881</v>
      </c>
    </row>
    <row r="115" spans="1:12">
      <c r="A115" s="17">
        <v>2</v>
      </c>
      <c r="B115" s="17">
        <v>-0.35801</v>
      </c>
      <c r="C115" s="17">
        <v>-0.00063</v>
      </c>
      <c r="D115">
        <v>3</v>
      </c>
      <c r="E115" s="17">
        <v>-0.77461</v>
      </c>
      <c r="F115" s="17">
        <v>0.89102</v>
      </c>
      <c r="G115" s="17">
        <v>4</v>
      </c>
      <c r="H115" s="17">
        <v>-0.84027</v>
      </c>
      <c r="I115" s="17">
        <v>0.02406</v>
      </c>
      <c r="J115" s="18">
        <v>1</v>
      </c>
      <c r="K115" s="17">
        <v>-0.11135</v>
      </c>
      <c r="L115" s="17">
        <v>-0.25867</v>
      </c>
    </row>
    <row r="116" spans="1:12">
      <c r="A116" s="17">
        <v>2</v>
      </c>
      <c r="B116" s="17">
        <v>-0.30691</v>
      </c>
      <c r="C116" s="17">
        <v>0.11362</v>
      </c>
      <c r="D116">
        <v>3</v>
      </c>
      <c r="E116" s="17">
        <v>-0.7247</v>
      </c>
      <c r="F116" s="17">
        <v>-0.09349</v>
      </c>
      <c r="G116" s="17">
        <v>4</v>
      </c>
      <c r="H116" s="17">
        <v>-0.01757</v>
      </c>
      <c r="I116" s="17">
        <v>-0.41131</v>
      </c>
      <c r="J116" s="18">
        <v>1</v>
      </c>
      <c r="K116" s="17">
        <v>0.1995</v>
      </c>
      <c r="L116" s="17">
        <v>-0.9615</v>
      </c>
    </row>
    <row r="117" spans="1:12">
      <c r="A117" s="17">
        <v>2</v>
      </c>
      <c r="B117" s="17">
        <v>-0.46047</v>
      </c>
      <c r="C117" s="17">
        <v>-0.16881</v>
      </c>
      <c r="D117">
        <v>3</v>
      </c>
      <c r="E117" s="17">
        <v>-0.35801</v>
      </c>
      <c r="F117" s="17">
        <v>-0.00063</v>
      </c>
      <c r="G117" s="17">
        <v>4</v>
      </c>
      <c r="H117" s="17">
        <v>-0.35801</v>
      </c>
      <c r="I117" s="17">
        <v>-0.00063</v>
      </c>
      <c r="J117" s="18">
        <v>1</v>
      </c>
      <c r="K117" s="17">
        <v>-0.99826</v>
      </c>
      <c r="L117" s="17">
        <v>0.35592</v>
      </c>
    </row>
    <row r="118" spans="1:12">
      <c r="A118" s="17">
        <v>2</v>
      </c>
      <c r="B118" s="17">
        <v>-0.51143</v>
      </c>
      <c r="C118" s="17">
        <v>0.47232</v>
      </c>
      <c r="D118">
        <v>3</v>
      </c>
      <c r="E118" s="17">
        <v>-0.30691</v>
      </c>
      <c r="F118" s="17">
        <v>0.11362</v>
      </c>
      <c r="G118" s="17">
        <v>4</v>
      </c>
      <c r="H118" s="17">
        <v>0.24085</v>
      </c>
      <c r="I118" s="17">
        <v>-0.13971</v>
      </c>
      <c r="J118" s="18">
        <v>2</v>
      </c>
      <c r="K118" s="17">
        <v>0.24728</v>
      </c>
      <c r="L118" s="17">
        <v>0.15524</v>
      </c>
    </row>
    <row r="119" spans="1:12">
      <c r="A119" s="17">
        <v>3</v>
      </c>
      <c r="B119" s="17">
        <v>1.92599</v>
      </c>
      <c r="C119" s="17">
        <v>5.20752</v>
      </c>
      <c r="D119">
        <v>3</v>
      </c>
      <c r="E119" s="17">
        <v>-0.46047</v>
      </c>
      <c r="F119" s="17">
        <v>-0.16881</v>
      </c>
      <c r="G119" s="17">
        <v>4</v>
      </c>
      <c r="H119" s="17">
        <v>0.38304</v>
      </c>
      <c r="I119" s="17">
        <v>-0.60578</v>
      </c>
      <c r="J119" s="18">
        <v>2</v>
      </c>
      <c r="K119" s="17">
        <v>0.0874</v>
      </c>
      <c r="L119" s="17">
        <v>-0.2276</v>
      </c>
    </row>
    <row r="120" spans="1:12">
      <c r="A120" s="17">
        <v>3</v>
      </c>
      <c r="B120" s="17">
        <v>3.40207</v>
      </c>
      <c r="C120" s="17">
        <v>4.09766</v>
      </c>
      <c r="D120">
        <v>3</v>
      </c>
      <c r="E120" s="17">
        <v>-0.51143</v>
      </c>
      <c r="F120" s="17">
        <v>0.47232</v>
      </c>
      <c r="G120" s="17">
        <v>4</v>
      </c>
      <c r="H120" s="17">
        <v>-0.51143</v>
      </c>
      <c r="I120" s="17">
        <v>0.47232</v>
      </c>
      <c r="J120" s="18">
        <v>2</v>
      </c>
      <c r="K120" s="17">
        <v>-0.00942</v>
      </c>
      <c r="L120" s="17">
        <v>0.13009</v>
      </c>
    </row>
    <row r="121" spans="1:12">
      <c r="A121" s="17">
        <v>4</v>
      </c>
      <c r="B121" s="17">
        <v>1.00922</v>
      </c>
      <c r="C121" s="17">
        <v>0.26199</v>
      </c>
      <c r="D121">
        <v>4</v>
      </c>
      <c r="E121" s="17">
        <v>-0.03038</v>
      </c>
      <c r="F121" s="17">
        <v>-0.40819</v>
      </c>
      <c r="G121" s="17">
        <v>5</v>
      </c>
      <c r="H121" s="17">
        <v>-0.71155</v>
      </c>
      <c r="I121" s="17">
        <v>0.04557</v>
      </c>
      <c r="J121" s="18">
        <v>2</v>
      </c>
      <c r="K121" s="17">
        <v>0.0659</v>
      </c>
      <c r="L121" s="17">
        <v>-0.01235</v>
      </c>
    </row>
    <row r="122" spans="1:12">
      <c r="A122" s="17">
        <v>4</v>
      </c>
      <c r="B122" s="17">
        <v>1.79355</v>
      </c>
      <c r="C122" s="17">
        <v>0.64091</v>
      </c>
      <c r="D122">
        <v>4</v>
      </c>
      <c r="E122" s="17">
        <v>-0.27567</v>
      </c>
      <c r="F122" s="17">
        <v>-0.30688</v>
      </c>
      <c r="G122" s="17">
        <v>5</v>
      </c>
      <c r="H122" s="17">
        <v>-0.38295</v>
      </c>
      <c r="I122" s="17">
        <v>-0.75013</v>
      </c>
      <c r="J122" s="18">
        <v>2</v>
      </c>
      <c r="K122" s="17">
        <v>0.17991</v>
      </c>
      <c r="L122" s="17">
        <v>-0.07034</v>
      </c>
    </row>
    <row r="123" spans="1:12">
      <c r="A123" s="17">
        <v>4</v>
      </c>
      <c r="B123" s="17">
        <v>1.34158</v>
      </c>
      <c r="C123" s="17">
        <v>-0.0008</v>
      </c>
      <c r="D123">
        <v>4</v>
      </c>
      <c r="E123" s="17">
        <v>-0.38295</v>
      </c>
      <c r="F123" s="17">
        <v>-0.75013</v>
      </c>
      <c r="G123" s="17">
        <v>5</v>
      </c>
      <c r="H123" s="17">
        <v>-0.42286</v>
      </c>
      <c r="I123" s="17">
        <v>0.0498</v>
      </c>
      <c r="J123" s="18">
        <v>2</v>
      </c>
      <c r="K123" s="17">
        <v>6e-5</v>
      </c>
      <c r="L123" s="17">
        <v>0.12006</v>
      </c>
    </row>
    <row r="124" spans="1:12">
      <c r="A124" s="17">
        <v>4</v>
      </c>
      <c r="B124" s="17">
        <v>1.41989</v>
      </c>
      <c r="C124" s="17">
        <v>0.95637</v>
      </c>
      <c r="D124">
        <v>4</v>
      </c>
      <c r="E124" s="17">
        <v>-0.1484</v>
      </c>
      <c r="F124" s="17">
        <v>-0.65796</v>
      </c>
      <c r="G124" s="17">
        <v>5</v>
      </c>
      <c r="H124" s="17">
        <v>0.22793</v>
      </c>
      <c r="I124" s="17">
        <v>-0.66235</v>
      </c>
      <c r="J124" s="18">
        <v>2</v>
      </c>
      <c r="K124" s="17">
        <v>0.29187</v>
      </c>
      <c r="L124" s="17">
        <v>-0.16302</v>
      </c>
    </row>
    <row r="125" spans="1:12">
      <c r="A125" s="17">
        <v>4</v>
      </c>
      <c r="B125" s="17">
        <v>0.64645</v>
      </c>
      <c r="C125" s="17">
        <v>1.04735</v>
      </c>
      <c r="D125">
        <v>4</v>
      </c>
      <c r="E125" s="17">
        <v>0.01285</v>
      </c>
      <c r="F125" s="17">
        <v>-0.60808</v>
      </c>
      <c r="G125" s="17">
        <v>5</v>
      </c>
      <c r="H125" s="17">
        <v>-0.37179</v>
      </c>
      <c r="I125" s="17">
        <v>-0.76622</v>
      </c>
      <c r="J125" s="18">
        <v>2</v>
      </c>
      <c r="K125" s="17">
        <v>0.1312</v>
      </c>
      <c r="L125" s="17">
        <v>0.32661</v>
      </c>
    </row>
    <row r="126" spans="1:12">
      <c r="A126" s="17">
        <v>4</v>
      </c>
      <c r="B126" s="17">
        <v>0.77969</v>
      </c>
      <c r="C126" s="17">
        <v>0.86121</v>
      </c>
      <c r="D126">
        <v>4</v>
      </c>
      <c r="E126" s="17">
        <v>0.00058</v>
      </c>
      <c r="F126" s="17">
        <v>-0.38462</v>
      </c>
      <c r="G126" s="17">
        <v>5</v>
      </c>
      <c r="H126" s="17">
        <v>0.11755</v>
      </c>
      <c r="I126" s="17">
        <v>-0.74204</v>
      </c>
      <c r="J126" s="18">
        <v>2</v>
      </c>
      <c r="K126" s="17">
        <v>0.5415</v>
      </c>
      <c r="L126" s="17">
        <v>-0.66805</v>
      </c>
    </row>
    <row r="127" spans="1:12">
      <c r="A127" s="17">
        <v>4</v>
      </c>
      <c r="B127" s="17">
        <v>0.93103</v>
      </c>
      <c r="C127" s="17">
        <v>0.11724</v>
      </c>
      <c r="D127">
        <v>4</v>
      </c>
      <c r="E127" s="17">
        <v>0.22793</v>
      </c>
      <c r="F127" s="17">
        <v>-0.66235</v>
      </c>
      <c r="G127" s="17">
        <v>5</v>
      </c>
      <c r="H127" s="17">
        <v>-0.00787</v>
      </c>
      <c r="I127" s="17">
        <v>-0.09799</v>
      </c>
      <c r="J127" s="18">
        <v>2</v>
      </c>
      <c r="K127" s="17">
        <v>1.00922</v>
      </c>
      <c r="L127" s="17">
        <v>0.26199</v>
      </c>
    </row>
    <row r="128" spans="1:12">
      <c r="A128" s="17">
        <v>4</v>
      </c>
      <c r="B128" s="17">
        <v>1.92839</v>
      </c>
      <c r="C128" s="17">
        <v>0.64555</v>
      </c>
      <c r="D128">
        <v>4</v>
      </c>
      <c r="E128" s="17">
        <v>-0.37179</v>
      </c>
      <c r="F128" s="17">
        <v>-0.76622</v>
      </c>
      <c r="G128" s="17">
        <v>5</v>
      </c>
      <c r="H128" s="17">
        <v>0.00436</v>
      </c>
      <c r="I128" s="17">
        <v>-0.44791</v>
      </c>
      <c r="J128" s="18">
        <v>2</v>
      </c>
      <c r="K128" s="17">
        <v>1.41989</v>
      </c>
      <c r="L128" s="17">
        <v>0.95637</v>
      </c>
    </row>
    <row r="129" spans="1:12">
      <c r="A129" s="17">
        <v>5</v>
      </c>
      <c r="B129" s="17">
        <v>0.87372</v>
      </c>
      <c r="C129" s="17">
        <v>-0.73676</v>
      </c>
      <c r="D129">
        <v>4</v>
      </c>
      <c r="E129" s="17">
        <v>-0.19344</v>
      </c>
      <c r="F129" s="17">
        <v>-0.42577</v>
      </c>
      <c r="G129" s="17">
        <v>5</v>
      </c>
      <c r="H129" s="17">
        <v>-0.49331</v>
      </c>
      <c r="I129" s="17">
        <v>0.24087</v>
      </c>
      <c r="J129" s="18">
        <v>2</v>
      </c>
      <c r="K129" s="17">
        <v>0.64645</v>
      </c>
      <c r="L129" s="17">
        <v>1.04735</v>
      </c>
    </row>
    <row r="130" spans="1:12">
      <c r="A130" s="17">
        <v>5</v>
      </c>
      <c r="B130" s="17">
        <v>0.62051</v>
      </c>
      <c r="C130" s="17">
        <v>-1.33405</v>
      </c>
      <c r="D130">
        <v>4</v>
      </c>
      <c r="E130" s="17">
        <v>-0.08775</v>
      </c>
      <c r="F130" s="17">
        <v>-0.66854</v>
      </c>
      <c r="G130" s="17">
        <v>5</v>
      </c>
      <c r="H130" s="17">
        <v>-0.5859</v>
      </c>
      <c r="I130" s="17">
        <v>-0.99856</v>
      </c>
      <c r="J130" s="18">
        <v>2</v>
      </c>
      <c r="K130" s="17">
        <v>0.77969</v>
      </c>
      <c r="L130" s="17">
        <v>0.86121</v>
      </c>
    </row>
    <row r="131" spans="1:12">
      <c r="A131" s="17">
        <v>5</v>
      </c>
      <c r="B131" s="17">
        <v>0.76503</v>
      </c>
      <c r="C131" s="17">
        <v>-1.33144</v>
      </c>
      <c r="D131">
        <v>4</v>
      </c>
      <c r="E131" s="17">
        <v>0.11755</v>
      </c>
      <c r="F131" s="17">
        <v>-0.74204</v>
      </c>
      <c r="G131" s="17">
        <v>5</v>
      </c>
      <c r="H131" s="17">
        <v>-0.12972</v>
      </c>
      <c r="I131" s="17">
        <v>-0.4446</v>
      </c>
      <c r="J131" s="18">
        <v>3</v>
      </c>
      <c r="K131" s="17">
        <v>-1.71247</v>
      </c>
      <c r="L131" s="17">
        <v>0.15467</v>
      </c>
    </row>
    <row r="132" spans="1:12">
      <c r="A132" s="17">
        <v>5</v>
      </c>
      <c r="B132" s="17">
        <v>2.21276</v>
      </c>
      <c r="C132" s="17">
        <v>-0.65409</v>
      </c>
      <c r="D132">
        <v>4</v>
      </c>
      <c r="E132" s="17">
        <v>0.04683</v>
      </c>
      <c r="F132" s="17">
        <v>-0.7824</v>
      </c>
      <c r="G132" s="17">
        <v>5</v>
      </c>
      <c r="H132" s="17">
        <v>-0.18989</v>
      </c>
      <c r="I132" s="17">
        <v>-0.20383</v>
      </c>
      <c r="J132" s="18">
        <v>3</v>
      </c>
      <c r="K132" s="17">
        <v>-1.45717</v>
      </c>
      <c r="L132" s="17">
        <v>0.73408</v>
      </c>
    </row>
    <row r="133" spans="1:12">
      <c r="A133" s="17">
        <v>5</v>
      </c>
      <c r="B133" s="17">
        <v>0.73992</v>
      </c>
      <c r="C133" s="17">
        <v>-1.05497</v>
      </c>
      <c r="D133">
        <v>4</v>
      </c>
      <c r="E133" s="17">
        <v>-0.28975</v>
      </c>
      <c r="F133" s="17">
        <v>-0.12187</v>
      </c>
      <c r="G133" s="17">
        <v>5</v>
      </c>
      <c r="H133" s="17">
        <v>-0.39689</v>
      </c>
      <c r="I133" s="17">
        <v>-0.437</v>
      </c>
      <c r="J133" s="18">
        <v>3</v>
      </c>
      <c r="K133" s="17">
        <v>-1.9956</v>
      </c>
      <c r="L133" s="17">
        <v>0.94367</v>
      </c>
    </row>
    <row r="134" spans="1:12">
      <c r="A134" s="17">
        <v>5</v>
      </c>
      <c r="B134" s="17">
        <v>1.42973</v>
      </c>
      <c r="C134" s="17">
        <v>-1.10317</v>
      </c>
      <c r="D134">
        <v>4</v>
      </c>
      <c r="E134" s="17">
        <v>0.00436</v>
      </c>
      <c r="F134" s="17">
        <v>-0.44791</v>
      </c>
      <c r="G134" s="17">
        <v>5</v>
      </c>
      <c r="H134" s="17">
        <v>-0.7247</v>
      </c>
      <c r="I134" s="17">
        <v>-0.09349</v>
      </c>
      <c r="J134" s="18">
        <v>3</v>
      </c>
      <c r="K134" s="17">
        <v>-3.97922</v>
      </c>
      <c r="L134" s="17">
        <v>3.26655</v>
      </c>
    </row>
    <row r="135" spans="1:12">
      <c r="A135" s="17">
        <v>5</v>
      </c>
      <c r="B135" s="17">
        <v>1.66312</v>
      </c>
      <c r="C135" s="17">
        <v>-0.68806</v>
      </c>
      <c r="D135">
        <v>4</v>
      </c>
      <c r="E135" s="17">
        <v>0.0874</v>
      </c>
      <c r="F135" s="17">
        <v>-0.2276</v>
      </c>
      <c r="G135" s="17">
        <v>5</v>
      </c>
      <c r="H135" s="17">
        <v>-0.03289</v>
      </c>
      <c r="I135" s="17">
        <v>-0.13615</v>
      </c>
      <c r="J135" s="18">
        <v>3</v>
      </c>
      <c r="K135" s="17">
        <v>-1.22607</v>
      </c>
      <c r="L135" s="17">
        <v>1.04421</v>
      </c>
    </row>
    <row r="136" spans="1:12">
      <c r="A136" s="17">
        <v>5</v>
      </c>
      <c r="B136" s="17">
        <v>0.76369</v>
      </c>
      <c r="C136" s="17">
        <v>-0.78897</v>
      </c>
      <c r="D136">
        <v>4</v>
      </c>
      <c r="E136" s="17">
        <v>-0.5859</v>
      </c>
      <c r="F136" s="17">
        <v>-0.99856</v>
      </c>
      <c r="G136" s="17">
        <v>5</v>
      </c>
      <c r="H136" s="17">
        <v>-0.16539</v>
      </c>
      <c r="I136" s="17">
        <v>-0.58329</v>
      </c>
      <c r="J136" s="18">
        <v>3</v>
      </c>
      <c r="K136" s="17">
        <v>-1.37514</v>
      </c>
      <c r="L136" s="17">
        <v>0.84234</v>
      </c>
    </row>
    <row r="137" spans="1:12">
      <c r="A137" s="17">
        <v>6</v>
      </c>
      <c r="B137" s="17">
        <v>-0.03038</v>
      </c>
      <c r="C137" s="17">
        <v>-0.40819</v>
      </c>
      <c r="D137">
        <v>4</v>
      </c>
      <c r="E137" s="17">
        <v>-0.24537</v>
      </c>
      <c r="F137" s="17">
        <v>-0.44979</v>
      </c>
      <c r="G137" s="17">
        <v>5</v>
      </c>
      <c r="H137" s="17">
        <v>-0.46047</v>
      </c>
      <c r="I137" s="17">
        <v>-0.16881</v>
      </c>
      <c r="J137" s="18">
        <v>3</v>
      </c>
      <c r="K137" s="17">
        <v>-2.36579</v>
      </c>
      <c r="L137" s="17">
        <v>0.86405</v>
      </c>
    </row>
    <row r="138" spans="1:12">
      <c r="A138" s="17">
        <v>6</v>
      </c>
      <c r="B138" s="17">
        <v>-0.27567</v>
      </c>
      <c r="C138" s="17">
        <v>-0.30688</v>
      </c>
      <c r="D138">
        <v>4</v>
      </c>
      <c r="E138" s="17">
        <v>-0.12972</v>
      </c>
      <c r="F138" s="17">
        <v>-0.4446</v>
      </c>
      <c r="G138" s="17">
        <v>5</v>
      </c>
      <c r="H138" s="17">
        <v>-0.11135</v>
      </c>
      <c r="I138" s="17">
        <v>-0.25867</v>
      </c>
      <c r="J138" s="18">
        <v>4</v>
      </c>
      <c r="K138" s="17">
        <v>-0.03038</v>
      </c>
      <c r="L138" s="17">
        <v>-0.40819</v>
      </c>
    </row>
    <row r="139" spans="1:12">
      <c r="A139" s="17">
        <v>6</v>
      </c>
      <c r="B139" s="17">
        <v>-0.38295</v>
      </c>
      <c r="C139" s="17">
        <v>-0.75013</v>
      </c>
      <c r="D139">
        <v>4</v>
      </c>
      <c r="E139" s="17">
        <v>-0.09056</v>
      </c>
      <c r="F139" s="17">
        <v>-0.37447</v>
      </c>
      <c r="G139" s="17">
        <v>5</v>
      </c>
      <c r="H139" s="17">
        <v>0.0874</v>
      </c>
      <c r="I139" s="17">
        <v>-0.2276</v>
      </c>
      <c r="J139" s="18">
        <v>4</v>
      </c>
      <c r="K139" s="17">
        <v>-0.1484</v>
      </c>
      <c r="L139" s="17">
        <v>-0.65796</v>
      </c>
    </row>
    <row r="140" spans="1:12">
      <c r="A140" s="17">
        <v>6</v>
      </c>
      <c r="B140" s="17">
        <v>-0.1484</v>
      </c>
      <c r="C140" s="17">
        <v>-0.65796</v>
      </c>
      <c r="D140">
        <v>4</v>
      </c>
      <c r="E140" s="17">
        <v>-0.27851</v>
      </c>
      <c r="F140" s="17">
        <v>-0.34159</v>
      </c>
      <c r="G140" s="17">
        <v>5</v>
      </c>
      <c r="H140" s="17">
        <v>-0.00942</v>
      </c>
      <c r="I140" s="17">
        <v>0.13009</v>
      </c>
      <c r="J140" s="18">
        <v>4</v>
      </c>
      <c r="K140" s="17">
        <v>-0.01495</v>
      </c>
      <c r="L140" s="17">
        <v>0.76751</v>
      </c>
    </row>
    <row r="141" spans="1:12">
      <c r="A141" s="17">
        <v>6</v>
      </c>
      <c r="B141" s="17">
        <v>0.01285</v>
      </c>
      <c r="C141" s="17">
        <v>-0.60808</v>
      </c>
      <c r="D141">
        <v>4</v>
      </c>
      <c r="E141" s="17">
        <v>-0.18989</v>
      </c>
      <c r="F141" s="17">
        <v>-0.20383</v>
      </c>
      <c r="G141" s="17">
        <v>5</v>
      </c>
      <c r="H141" s="17">
        <v>0.0659</v>
      </c>
      <c r="I141" s="17">
        <v>-0.01235</v>
      </c>
      <c r="J141" s="18">
        <v>4</v>
      </c>
      <c r="K141" s="17">
        <v>-0.19344</v>
      </c>
      <c r="L141" s="17">
        <v>-0.42577</v>
      </c>
    </row>
    <row r="142" spans="1:12">
      <c r="A142" s="17">
        <v>6</v>
      </c>
      <c r="B142" s="17">
        <v>0.1995</v>
      </c>
      <c r="C142" s="17">
        <v>-0.9615</v>
      </c>
      <c r="D142">
        <v>4</v>
      </c>
      <c r="E142" s="17">
        <v>-0.39689</v>
      </c>
      <c r="F142" s="17">
        <v>-0.437</v>
      </c>
      <c r="G142" s="17">
        <v>5</v>
      </c>
      <c r="H142" s="17">
        <v>0.17991</v>
      </c>
      <c r="I142" s="17">
        <v>-0.07034</v>
      </c>
      <c r="J142" s="18">
        <v>4</v>
      </c>
      <c r="K142" s="17">
        <v>0.06339</v>
      </c>
      <c r="L142" s="17">
        <v>-0.13168</v>
      </c>
    </row>
    <row r="143" spans="1:12">
      <c r="A143" s="17">
        <v>6</v>
      </c>
      <c r="B143" s="17">
        <v>0.00058</v>
      </c>
      <c r="C143" s="17">
        <v>-0.38462</v>
      </c>
      <c r="D143">
        <v>4</v>
      </c>
      <c r="E143" s="17">
        <v>-0.72702</v>
      </c>
      <c r="F143" s="17">
        <v>-0.64157</v>
      </c>
      <c r="G143" s="17">
        <v>5</v>
      </c>
      <c r="H143" s="17">
        <v>6e-5</v>
      </c>
      <c r="I143" s="17">
        <v>0.12006</v>
      </c>
      <c r="J143" s="18">
        <v>4</v>
      </c>
      <c r="K143" s="17">
        <v>-0.28975</v>
      </c>
      <c r="L143" s="17">
        <v>-0.12187</v>
      </c>
    </row>
    <row r="144" spans="1:12">
      <c r="A144" s="17">
        <v>6</v>
      </c>
      <c r="B144" s="17">
        <v>0.12219</v>
      </c>
      <c r="C144" s="17">
        <v>-1.17465</v>
      </c>
      <c r="D144">
        <v>4</v>
      </c>
      <c r="E144" s="17">
        <v>-0.01757</v>
      </c>
      <c r="F144" s="17">
        <v>-0.41131</v>
      </c>
      <c r="G144" s="17">
        <v>5</v>
      </c>
      <c r="H144" s="17">
        <v>0.29187</v>
      </c>
      <c r="I144" s="17">
        <v>-0.16302</v>
      </c>
      <c r="J144" s="18">
        <v>4</v>
      </c>
      <c r="K144" s="17">
        <v>-0.35122</v>
      </c>
      <c r="L144" s="17">
        <v>-0.00894</v>
      </c>
    </row>
    <row r="145" spans="1:12">
      <c r="A145" s="17">
        <v>6</v>
      </c>
      <c r="B145" s="17">
        <v>0.22793</v>
      </c>
      <c r="C145" s="17">
        <v>-0.66235</v>
      </c>
      <c r="D145">
        <v>4</v>
      </c>
      <c r="E145" s="17">
        <v>0.18228</v>
      </c>
      <c r="F145" s="17">
        <v>-0.31958</v>
      </c>
      <c r="G145" s="17">
        <v>5</v>
      </c>
      <c r="H145" s="17">
        <v>0.1312</v>
      </c>
      <c r="I145" s="17">
        <v>0.32661</v>
      </c>
      <c r="J145" s="18">
        <v>4</v>
      </c>
      <c r="K145" s="17">
        <v>0.01642</v>
      </c>
      <c r="L145" s="17">
        <v>0.12266</v>
      </c>
    </row>
    <row r="146" spans="1:12">
      <c r="A146" s="17">
        <v>6</v>
      </c>
      <c r="B146" s="17">
        <v>-0.37179</v>
      </c>
      <c r="C146" s="17">
        <v>-0.76622</v>
      </c>
      <c r="D146">
        <v>4</v>
      </c>
      <c r="E146" s="17">
        <v>-0.03289</v>
      </c>
      <c r="F146" s="17">
        <v>-0.13615</v>
      </c>
      <c r="G146" s="17">
        <v>5</v>
      </c>
      <c r="H146" s="17">
        <v>0.5415</v>
      </c>
      <c r="I146" s="17">
        <v>-0.66805</v>
      </c>
      <c r="J146" s="18">
        <v>4</v>
      </c>
      <c r="K146" s="17">
        <v>-0.62304</v>
      </c>
      <c r="L146" s="17">
        <v>0.38744</v>
      </c>
    </row>
    <row r="147" spans="1:12">
      <c r="A147" s="17">
        <v>6</v>
      </c>
      <c r="B147" s="17">
        <v>-0.19344</v>
      </c>
      <c r="C147" s="17">
        <v>-0.42577</v>
      </c>
      <c r="D147">
        <v>4</v>
      </c>
      <c r="E147" s="17">
        <v>-0.16539</v>
      </c>
      <c r="F147" s="17">
        <v>-0.58329</v>
      </c>
      <c r="G147" s="17">
        <v>5</v>
      </c>
      <c r="H147" s="17">
        <v>0.00058</v>
      </c>
      <c r="I147" s="17">
        <v>-0.38462</v>
      </c>
      <c r="J147" s="18">
        <v>4</v>
      </c>
      <c r="K147" s="17">
        <v>-0.84027</v>
      </c>
      <c r="L147" s="17">
        <v>0.02406</v>
      </c>
    </row>
    <row r="148" spans="1:12">
      <c r="A148" s="17">
        <v>6</v>
      </c>
      <c r="B148" s="17">
        <v>-0.08775</v>
      </c>
      <c r="C148" s="17">
        <v>-0.66854</v>
      </c>
      <c r="D148">
        <v>4</v>
      </c>
      <c r="E148" s="17">
        <v>-0.11135</v>
      </c>
      <c r="F148" s="17">
        <v>-0.25867</v>
      </c>
      <c r="G148" s="17">
        <v>5</v>
      </c>
      <c r="H148" s="17">
        <v>0.18228</v>
      </c>
      <c r="I148" s="17">
        <v>-0.31958</v>
      </c>
      <c r="J148" s="18">
        <v>4</v>
      </c>
      <c r="K148" s="17">
        <v>-0.01757</v>
      </c>
      <c r="L148" s="17">
        <v>-0.41131</v>
      </c>
    </row>
    <row r="149" spans="1:12">
      <c r="A149" s="17">
        <v>6</v>
      </c>
      <c r="B149" s="17">
        <v>0.11755</v>
      </c>
      <c r="C149" s="17">
        <v>-0.74204</v>
      </c>
      <c r="D149">
        <v>5</v>
      </c>
      <c r="E149" s="17">
        <v>0.87372</v>
      </c>
      <c r="F149" s="17">
        <v>-0.73676</v>
      </c>
      <c r="G149" s="17">
        <v>5</v>
      </c>
      <c r="H149" s="17">
        <v>-0.77461</v>
      </c>
      <c r="I149" s="17">
        <v>0.89102</v>
      </c>
      <c r="J149" s="18">
        <v>4</v>
      </c>
      <c r="K149" s="17">
        <v>-0.35801</v>
      </c>
      <c r="L149" s="17">
        <v>-0.00063</v>
      </c>
    </row>
    <row r="150" spans="1:12">
      <c r="A150" s="17">
        <v>6</v>
      </c>
      <c r="B150" s="17">
        <v>0.04683</v>
      </c>
      <c r="C150" s="17">
        <v>-0.7824</v>
      </c>
      <c r="D150">
        <v>5</v>
      </c>
      <c r="E150" s="17">
        <v>0.62051</v>
      </c>
      <c r="F150" s="17">
        <v>-1.33405</v>
      </c>
      <c r="G150" s="17">
        <v>5</v>
      </c>
      <c r="H150" s="17">
        <v>0.04683</v>
      </c>
      <c r="I150" s="17">
        <v>-0.7824</v>
      </c>
      <c r="J150" s="18">
        <v>4</v>
      </c>
      <c r="K150" s="17">
        <v>0.24085</v>
      </c>
      <c r="L150" s="17">
        <v>-0.13971</v>
      </c>
    </row>
    <row r="151" spans="1:12">
      <c r="A151" s="17">
        <v>6</v>
      </c>
      <c r="B151" s="17">
        <v>0.00436</v>
      </c>
      <c r="C151" s="17">
        <v>-0.44791</v>
      </c>
      <c r="D151">
        <v>5</v>
      </c>
      <c r="E151" s="17">
        <v>0.76503</v>
      </c>
      <c r="F151" s="17">
        <v>-1.33144</v>
      </c>
      <c r="G151" s="17">
        <v>6</v>
      </c>
      <c r="H151" s="17">
        <v>0.1995</v>
      </c>
      <c r="I151" s="17">
        <v>-0.9615</v>
      </c>
      <c r="J151" s="18">
        <v>4</v>
      </c>
      <c r="K151" s="17">
        <v>0.38304</v>
      </c>
      <c r="L151" s="17">
        <v>-0.60578</v>
      </c>
    </row>
    <row r="152" spans="1:12">
      <c r="A152" s="17">
        <v>6</v>
      </c>
      <c r="B152" s="17">
        <v>-0.5859</v>
      </c>
      <c r="C152" s="17">
        <v>-0.99856</v>
      </c>
      <c r="D152">
        <v>5</v>
      </c>
      <c r="E152" s="17">
        <v>0.1995</v>
      </c>
      <c r="F152" s="17">
        <v>-0.9615</v>
      </c>
      <c r="G152" s="17">
        <v>6</v>
      </c>
      <c r="H152" s="17">
        <v>1.00922</v>
      </c>
      <c r="I152" s="17">
        <v>0.26199</v>
      </c>
      <c r="J152" s="18">
        <v>4</v>
      </c>
      <c r="K152" s="17">
        <v>-0.51143</v>
      </c>
      <c r="L152" s="17">
        <v>0.47232</v>
      </c>
    </row>
    <row r="153" spans="1:12">
      <c r="A153" s="17">
        <v>6</v>
      </c>
      <c r="B153" s="17">
        <v>-0.24537</v>
      </c>
      <c r="C153" s="17">
        <v>-0.44979</v>
      </c>
      <c r="D153">
        <v>5</v>
      </c>
      <c r="E153" s="17">
        <v>0.12219</v>
      </c>
      <c r="F153" s="17">
        <v>-1.17465</v>
      </c>
      <c r="G153" s="17">
        <v>6</v>
      </c>
      <c r="H153" s="17">
        <v>1.41989</v>
      </c>
      <c r="I153" s="17">
        <v>0.95637</v>
      </c>
      <c r="J153" s="18">
        <v>4</v>
      </c>
      <c r="K153" s="17">
        <v>0.00058</v>
      </c>
      <c r="L153" s="17">
        <v>-0.38462</v>
      </c>
    </row>
    <row r="154" spans="1:12">
      <c r="A154" s="17">
        <v>6</v>
      </c>
      <c r="B154" s="17">
        <v>-0.12972</v>
      </c>
      <c r="C154" s="17">
        <v>-0.4446</v>
      </c>
      <c r="D154">
        <v>5</v>
      </c>
      <c r="E154" s="17">
        <v>0.73992</v>
      </c>
      <c r="F154" s="17">
        <v>-1.05497</v>
      </c>
      <c r="G154" s="17">
        <v>6</v>
      </c>
      <c r="H154" s="17">
        <v>0.64645</v>
      </c>
      <c r="I154" s="17">
        <v>1.04735</v>
      </c>
      <c r="J154" s="18">
        <v>4</v>
      </c>
      <c r="K154" s="17">
        <v>0.18228</v>
      </c>
      <c r="L154" s="17">
        <v>-0.31958</v>
      </c>
    </row>
    <row r="155" spans="1:12">
      <c r="A155" s="17">
        <v>6</v>
      </c>
      <c r="B155" s="17">
        <v>-0.09056</v>
      </c>
      <c r="C155" s="17">
        <v>-0.37447</v>
      </c>
      <c r="D155">
        <v>5</v>
      </c>
      <c r="E155" s="17">
        <v>1.42973</v>
      </c>
      <c r="F155" s="17">
        <v>-1.10317</v>
      </c>
      <c r="G155" s="17">
        <v>6</v>
      </c>
      <c r="H155" s="17">
        <v>0.77969</v>
      </c>
      <c r="I155" s="17">
        <v>0.86121</v>
      </c>
      <c r="J155" s="18">
        <v>4</v>
      </c>
      <c r="K155" s="17">
        <v>-0.77461</v>
      </c>
      <c r="L155" s="17">
        <v>0.89102</v>
      </c>
    </row>
    <row r="156" spans="1:12">
      <c r="A156" s="17">
        <v>6</v>
      </c>
      <c r="B156" s="17">
        <v>-0.27851</v>
      </c>
      <c r="C156" s="17">
        <v>-0.34159</v>
      </c>
      <c r="D156">
        <v>5</v>
      </c>
      <c r="E156" s="17">
        <v>0.5415</v>
      </c>
      <c r="F156" s="17">
        <v>-0.66805</v>
      </c>
      <c r="G156" s="17">
        <v>6</v>
      </c>
      <c r="H156" s="17">
        <v>0.87372</v>
      </c>
      <c r="I156" s="17">
        <v>-0.73676</v>
      </c>
      <c r="J156" s="18">
        <v>4</v>
      </c>
      <c r="K156" s="17">
        <v>0.87372</v>
      </c>
      <c r="L156" s="17">
        <v>-0.73676</v>
      </c>
    </row>
    <row r="157" spans="1:12">
      <c r="A157" s="17">
        <v>6</v>
      </c>
      <c r="B157" s="17">
        <v>-0.18989</v>
      </c>
      <c r="C157" s="17">
        <v>-0.20383</v>
      </c>
      <c r="D157">
        <v>5</v>
      </c>
      <c r="E157" s="17">
        <v>0.38304</v>
      </c>
      <c r="F157" s="17">
        <v>-0.60578</v>
      </c>
      <c r="G157" s="17">
        <v>6</v>
      </c>
      <c r="H157" s="17">
        <v>2.21276</v>
      </c>
      <c r="I157" s="17">
        <v>-0.65409</v>
      </c>
      <c r="J157" s="18">
        <v>5</v>
      </c>
      <c r="K157" s="17">
        <v>1.92599</v>
      </c>
      <c r="L157" s="17">
        <v>5.20752</v>
      </c>
    </row>
    <row r="158" spans="1:12">
      <c r="A158" s="17">
        <v>6</v>
      </c>
      <c r="B158" s="17">
        <v>-0.39689</v>
      </c>
      <c r="C158" s="17">
        <v>-0.437</v>
      </c>
      <c r="D158">
        <v>5</v>
      </c>
      <c r="E158" s="17">
        <v>0.76369</v>
      </c>
      <c r="F158" s="17">
        <v>-0.78897</v>
      </c>
      <c r="G158" s="17">
        <v>6</v>
      </c>
      <c r="H158" s="17">
        <v>1.79355</v>
      </c>
      <c r="I158" s="17">
        <v>0.64091</v>
      </c>
      <c r="J158" s="18">
        <v>5</v>
      </c>
      <c r="K158" s="17">
        <v>3.40207</v>
      </c>
      <c r="L158" s="17">
        <v>4.09766</v>
      </c>
    </row>
    <row r="159" spans="1:12">
      <c r="A159" s="17">
        <v>6</v>
      </c>
      <c r="B159" s="17">
        <v>0.5415</v>
      </c>
      <c r="C159" s="17">
        <v>-0.66805</v>
      </c>
      <c r="D159">
        <v>5</v>
      </c>
      <c r="E159" s="17">
        <v>0.30609</v>
      </c>
      <c r="F159" s="17">
        <v>-0.71163</v>
      </c>
      <c r="G159" s="17">
        <v>6</v>
      </c>
      <c r="H159" s="17">
        <v>1.34158</v>
      </c>
      <c r="I159" s="17">
        <v>-0.0008</v>
      </c>
      <c r="J159" s="18">
        <v>6</v>
      </c>
      <c r="K159" s="17">
        <v>0.62051</v>
      </c>
      <c r="L159" s="17">
        <v>-1.33405</v>
      </c>
    </row>
    <row r="160" spans="1:12">
      <c r="A160" s="17">
        <v>6</v>
      </c>
      <c r="B160" s="17">
        <v>-0.72702</v>
      </c>
      <c r="C160" s="17">
        <v>-0.64157</v>
      </c>
      <c r="D160">
        <v>6</v>
      </c>
      <c r="E160" s="17">
        <v>1.00922</v>
      </c>
      <c r="F160" s="17">
        <v>0.26199</v>
      </c>
      <c r="G160" s="17">
        <v>6</v>
      </c>
      <c r="H160" s="17">
        <v>0.73992</v>
      </c>
      <c r="I160" s="17">
        <v>-1.05497</v>
      </c>
      <c r="J160" s="18">
        <v>6</v>
      </c>
      <c r="K160" s="17">
        <v>2.21276</v>
      </c>
      <c r="L160" s="17">
        <v>-0.65409</v>
      </c>
    </row>
    <row r="161" spans="1:12">
      <c r="A161" s="17">
        <v>6</v>
      </c>
      <c r="B161" s="17">
        <v>-0.01757</v>
      </c>
      <c r="C161" s="17">
        <v>-0.41131</v>
      </c>
      <c r="D161">
        <v>6</v>
      </c>
      <c r="E161" s="17">
        <v>2.21276</v>
      </c>
      <c r="F161" s="17">
        <v>-0.65409</v>
      </c>
      <c r="G161" s="17">
        <v>6</v>
      </c>
      <c r="H161" s="17">
        <v>1.42973</v>
      </c>
      <c r="I161" s="17">
        <v>-1.10317</v>
      </c>
      <c r="J161" s="18">
        <v>6</v>
      </c>
      <c r="K161" s="17">
        <v>1.79355</v>
      </c>
      <c r="L161" s="17">
        <v>0.64091</v>
      </c>
    </row>
    <row r="162" spans="1:12">
      <c r="A162" s="17">
        <v>6</v>
      </c>
      <c r="B162" s="17">
        <v>-0.16539</v>
      </c>
      <c r="C162" s="17">
        <v>-0.58329</v>
      </c>
      <c r="D162">
        <v>6</v>
      </c>
      <c r="E162" s="17">
        <v>1.79355</v>
      </c>
      <c r="F162" s="17">
        <v>0.64091</v>
      </c>
      <c r="G162" s="17">
        <v>6</v>
      </c>
      <c r="H162" s="17">
        <v>1.66312</v>
      </c>
      <c r="I162" s="17">
        <v>-0.68806</v>
      </c>
      <c r="J162" s="18">
        <v>6</v>
      </c>
      <c r="K162" s="17">
        <v>1.34158</v>
      </c>
      <c r="L162" s="17">
        <v>-0.0008</v>
      </c>
    </row>
    <row r="163" spans="1:12">
      <c r="A163" s="17">
        <v>6</v>
      </c>
      <c r="B163" s="17">
        <v>0.38304</v>
      </c>
      <c r="C163" s="17">
        <v>-0.60578</v>
      </c>
      <c r="D163">
        <v>6</v>
      </c>
      <c r="E163" s="17">
        <v>1.34158</v>
      </c>
      <c r="F163" s="17">
        <v>-0.0008</v>
      </c>
      <c r="G163" s="17">
        <v>6</v>
      </c>
      <c r="H163" s="17">
        <v>0.76369</v>
      </c>
      <c r="I163" s="17">
        <v>-0.78897</v>
      </c>
      <c r="J163" s="18">
        <v>6</v>
      </c>
      <c r="K163" s="17">
        <v>0.73992</v>
      </c>
      <c r="L163" s="17">
        <v>-1.05497</v>
      </c>
    </row>
    <row r="164" spans="1:12">
      <c r="A164" s="17">
        <v>6</v>
      </c>
      <c r="B164" s="17">
        <v>-0.11135</v>
      </c>
      <c r="C164" s="17">
        <v>-0.25867</v>
      </c>
      <c r="D164">
        <v>6</v>
      </c>
      <c r="E164" s="17">
        <v>1.41989</v>
      </c>
      <c r="F164" s="17">
        <v>0.95637</v>
      </c>
      <c r="G164" s="17">
        <v>6</v>
      </c>
      <c r="H164" s="17">
        <v>0.93103</v>
      </c>
      <c r="I164" s="17">
        <v>0.11724</v>
      </c>
      <c r="J164" s="18">
        <v>6</v>
      </c>
      <c r="K164" s="17">
        <v>1.42973</v>
      </c>
      <c r="L164" s="17">
        <v>-1.10317</v>
      </c>
    </row>
    <row r="165" spans="1:12">
      <c r="A165" s="17">
        <v>6</v>
      </c>
      <c r="B165" s="17">
        <v>0.30609</v>
      </c>
      <c r="C165" s="17">
        <v>-0.71163</v>
      </c>
      <c r="D165">
        <v>6</v>
      </c>
      <c r="E165" s="17">
        <v>1.66312</v>
      </c>
      <c r="F165" s="17">
        <v>-0.68806</v>
      </c>
      <c r="G165" s="17">
        <v>6</v>
      </c>
      <c r="H165" s="17">
        <v>1.92839</v>
      </c>
      <c r="I165" s="17">
        <v>0.64555</v>
      </c>
      <c r="J165" s="18">
        <v>6</v>
      </c>
      <c r="K165" s="17">
        <v>1.66312</v>
      </c>
      <c r="L165" s="17">
        <v>-0.68806</v>
      </c>
    </row>
    <row r="166" spans="1:12">
      <c r="A166" s="17">
        <v>7</v>
      </c>
      <c r="B166" s="17">
        <v>-1.71247</v>
      </c>
      <c r="C166" s="17">
        <v>0.15467</v>
      </c>
      <c r="D166">
        <v>6</v>
      </c>
      <c r="E166" s="17">
        <v>0.93103</v>
      </c>
      <c r="F166" s="17">
        <v>0.11724</v>
      </c>
      <c r="G166" s="17">
        <v>7</v>
      </c>
      <c r="H166" s="17">
        <v>-0.99826</v>
      </c>
      <c r="I166" s="17">
        <v>0.35592</v>
      </c>
      <c r="J166" s="18">
        <v>6</v>
      </c>
      <c r="K166" s="17">
        <v>0.76369</v>
      </c>
      <c r="L166" s="17">
        <v>-0.78897</v>
      </c>
    </row>
    <row r="167" spans="1:12">
      <c r="A167" s="17">
        <v>7</v>
      </c>
      <c r="B167" s="17">
        <v>-1.45717</v>
      </c>
      <c r="C167" s="17">
        <v>0.73408</v>
      </c>
      <c r="D167">
        <v>6</v>
      </c>
      <c r="E167" s="17">
        <v>1.92839</v>
      </c>
      <c r="F167" s="17">
        <v>0.64555</v>
      </c>
      <c r="G167" s="17">
        <v>7</v>
      </c>
      <c r="H167" s="17">
        <v>-1.71247</v>
      </c>
      <c r="I167" s="17">
        <v>0.15467</v>
      </c>
      <c r="J167" s="18">
        <v>6</v>
      </c>
      <c r="K167" s="17">
        <v>0.93103</v>
      </c>
      <c r="L167" s="17">
        <v>0.11724</v>
      </c>
    </row>
    <row r="168" spans="1:12">
      <c r="A168" s="17">
        <v>7</v>
      </c>
      <c r="B168" s="17">
        <v>-1.9956</v>
      </c>
      <c r="C168" s="17">
        <v>0.94367</v>
      </c>
      <c r="D168">
        <v>7</v>
      </c>
      <c r="E168" s="17">
        <v>-1.45717</v>
      </c>
      <c r="F168" s="17">
        <v>0.73408</v>
      </c>
      <c r="G168" s="17">
        <v>7</v>
      </c>
      <c r="H168" s="17">
        <v>-1.45717</v>
      </c>
      <c r="I168" s="17">
        <v>0.73408</v>
      </c>
      <c r="J168" s="18">
        <v>6</v>
      </c>
      <c r="K168" s="17">
        <v>1.92839</v>
      </c>
      <c r="L168" s="17">
        <v>0.64555</v>
      </c>
    </row>
    <row r="169" spans="1:12">
      <c r="A169" s="17">
        <v>7</v>
      </c>
      <c r="B169" s="17">
        <v>-3.97922</v>
      </c>
      <c r="C169" s="17">
        <v>3.26655</v>
      </c>
      <c r="D169">
        <v>7</v>
      </c>
      <c r="E169" s="17">
        <v>-1.9956</v>
      </c>
      <c r="F169" s="17">
        <v>0.94367</v>
      </c>
      <c r="G169" s="17">
        <v>7</v>
      </c>
      <c r="H169" s="17">
        <v>-1.9956</v>
      </c>
      <c r="I169" s="17">
        <v>0.94367</v>
      </c>
      <c r="J169" s="18">
        <v>7</v>
      </c>
      <c r="K169" s="17">
        <v>0.76503</v>
      </c>
      <c r="L169" s="17">
        <v>-1.33144</v>
      </c>
    </row>
    <row r="170" spans="1:12">
      <c r="A170" s="17">
        <v>7</v>
      </c>
      <c r="B170" s="17">
        <v>-1.22607</v>
      </c>
      <c r="C170" s="17">
        <v>1.04421</v>
      </c>
      <c r="D170">
        <v>7</v>
      </c>
      <c r="E170" s="17">
        <v>-3.97922</v>
      </c>
      <c r="F170" s="17">
        <v>3.26655</v>
      </c>
      <c r="G170" s="17">
        <v>7</v>
      </c>
      <c r="H170" s="17">
        <v>-3.97922</v>
      </c>
      <c r="I170" s="17">
        <v>3.26655</v>
      </c>
      <c r="J170" s="18">
        <v>7</v>
      </c>
      <c r="K170" s="17">
        <v>0.01285</v>
      </c>
      <c r="L170" s="17">
        <v>-0.60808</v>
      </c>
    </row>
    <row r="171" spans="1:12">
      <c r="A171" s="17">
        <v>7</v>
      </c>
      <c r="B171" s="17">
        <v>-1.37514</v>
      </c>
      <c r="C171" s="17">
        <v>0.84234</v>
      </c>
      <c r="D171">
        <v>7</v>
      </c>
      <c r="E171" s="17">
        <v>-1.22607</v>
      </c>
      <c r="F171" s="17">
        <v>1.04421</v>
      </c>
      <c r="G171" s="17">
        <v>7</v>
      </c>
      <c r="H171" s="17">
        <v>-1.22607</v>
      </c>
      <c r="I171" s="17">
        <v>1.04421</v>
      </c>
      <c r="J171" s="18">
        <v>7</v>
      </c>
      <c r="K171" s="17">
        <v>-0.35773</v>
      </c>
      <c r="L171" s="17">
        <v>0.258</v>
      </c>
    </row>
    <row r="172" spans="1:12">
      <c r="A172" s="17">
        <v>7</v>
      </c>
      <c r="B172" s="17">
        <v>-0.77461</v>
      </c>
      <c r="C172" s="17">
        <v>0.89102</v>
      </c>
      <c r="D172">
        <v>7</v>
      </c>
      <c r="E172" s="17">
        <v>-1.37514</v>
      </c>
      <c r="F172" s="17">
        <v>0.84234</v>
      </c>
      <c r="G172" s="17">
        <v>7</v>
      </c>
      <c r="H172" s="17">
        <v>-1.37514</v>
      </c>
      <c r="I172" s="17">
        <v>0.84234</v>
      </c>
      <c r="J172" s="18">
        <v>7</v>
      </c>
      <c r="K172" s="17">
        <v>0.30609</v>
      </c>
      <c r="L172" s="17">
        <v>-0.71163</v>
      </c>
    </row>
    <row r="173" spans="1:12">
      <c r="A173" s="17">
        <v>7</v>
      </c>
      <c r="B173" s="17">
        <v>-2.36579</v>
      </c>
      <c r="C173" s="17">
        <v>0.86405</v>
      </c>
      <c r="D173">
        <v>7</v>
      </c>
      <c r="E173" s="17">
        <v>-2.36579</v>
      </c>
      <c r="F173" s="17">
        <v>0.86405</v>
      </c>
      <c r="G173" s="17">
        <v>7</v>
      </c>
      <c r="H173" s="17">
        <v>-2.36579</v>
      </c>
      <c r="I173" s="17">
        <v>0.86405</v>
      </c>
      <c r="J173" s="18">
        <v>7</v>
      </c>
      <c r="K173" s="17">
        <v>0.04683</v>
      </c>
      <c r="L173" s="17">
        <v>-0.7824</v>
      </c>
    </row>
  </sheetData>
  <pageMargins left="0.75" right="0.75" top="1" bottom="1" header="0.5" footer="0.5"/>
  <headerFooter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H31" sqref="H31"/>
    </sheetView>
  </sheetViews>
  <sheetFormatPr defaultColWidth="8.72727272727273" defaultRowHeight="14.5" outlineLevelCol="2"/>
  <cols>
    <col min="2" max="2" width="12.8181818181818"/>
    <col min="3" max="3" width="11.7272727272727"/>
  </cols>
  <sheetData>
    <row r="1" spans="1:1">
      <c r="A1" t="s">
        <v>207</v>
      </c>
    </row>
    <row r="2" ht="15.25" spans="2:3">
      <c r="B2" t="s">
        <v>210</v>
      </c>
      <c r="C2" t="s">
        <v>211</v>
      </c>
    </row>
    <row r="3" ht="16" spans="1:3">
      <c r="A3" s="12" t="s">
        <v>183</v>
      </c>
      <c r="B3" s="13">
        <v>0.0960953333333333</v>
      </c>
      <c r="C3" s="13">
        <v>0.0215833333333333</v>
      </c>
    </row>
    <row r="4" ht="15.25" spans="1:3">
      <c r="A4" s="12" t="s">
        <v>184</v>
      </c>
      <c r="B4" s="13">
        <v>-0.555702666666667</v>
      </c>
      <c r="C4">
        <v>0.111303333333333</v>
      </c>
    </row>
    <row r="5" spans="1:3">
      <c r="A5" s="12" t="s">
        <v>185</v>
      </c>
      <c r="B5">
        <v>2.66403</v>
      </c>
      <c r="C5">
        <v>4.65259</v>
      </c>
    </row>
    <row r="6" spans="1:3">
      <c r="A6" s="12" t="s">
        <v>186</v>
      </c>
      <c r="B6">
        <v>1.231225</v>
      </c>
      <c r="C6">
        <v>0.5662275</v>
      </c>
    </row>
    <row r="7" spans="1:3">
      <c r="A7" s="12" t="s">
        <v>187</v>
      </c>
      <c r="B7">
        <v>1.13356</v>
      </c>
      <c r="C7">
        <v>-0.96143875</v>
      </c>
    </row>
    <row r="8" spans="1:3">
      <c r="A8" s="12" t="s">
        <v>188</v>
      </c>
      <c r="B8">
        <v>-0.0850389655172414</v>
      </c>
      <c r="C8">
        <v>-0.581978620689655</v>
      </c>
    </row>
    <row r="9" spans="1:3">
      <c r="A9" s="12" t="s">
        <v>189</v>
      </c>
      <c r="B9">
        <v>-1.86075875</v>
      </c>
      <c r="C9">
        <v>1.09257375</v>
      </c>
    </row>
    <row r="10" spans="1:1">
      <c r="A10" s="12"/>
    </row>
    <row r="11" spans="1:1">
      <c r="A11" t="s">
        <v>212</v>
      </c>
    </row>
    <row r="12" spans="2:3">
      <c r="B12" t="s">
        <v>210</v>
      </c>
      <c r="C12" t="s">
        <v>211</v>
      </c>
    </row>
    <row r="13" spans="1:3">
      <c r="A13" s="12" t="s">
        <v>183</v>
      </c>
      <c r="B13">
        <v>0.187912857142857</v>
      </c>
      <c r="C13">
        <v>0.20826</v>
      </c>
    </row>
    <row r="14" spans="1:3">
      <c r="A14" s="12" t="s">
        <v>184</v>
      </c>
      <c r="B14">
        <v>2.66403</v>
      </c>
      <c r="C14">
        <v>4.65259</v>
      </c>
    </row>
    <row r="15" spans="1:3">
      <c r="A15" s="12" t="s">
        <v>185</v>
      </c>
      <c r="B15">
        <v>-0.658304375</v>
      </c>
      <c r="C15">
        <v>0.177319375</v>
      </c>
    </row>
    <row r="16" spans="1:3">
      <c r="A16" s="12" t="s">
        <v>186</v>
      </c>
      <c r="B16">
        <v>-0.1454075</v>
      </c>
      <c r="C16">
        <v>-0.484320357142857</v>
      </c>
    </row>
    <row r="17" spans="1:3">
      <c r="A17" s="12" t="s">
        <v>187</v>
      </c>
      <c r="B17">
        <v>0.613174545454545</v>
      </c>
      <c r="C17">
        <v>-0.951906363636363</v>
      </c>
    </row>
    <row r="18" spans="1:3">
      <c r="A18" s="12" t="s">
        <v>188</v>
      </c>
      <c r="B18">
        <v>1.5374425</v>
      </c>
      <c r="C18">
        <v>0.15988875</v>
      </c>
    </row>
    <row r="19" spans="1:3">
      <c r="A19" s="12" t="s">
        <v>189</v>
      </c>
      <c r="B19">
        <v>-2.06649833333333</v>
      </c>
      <c r="C19">
        <v>1.28248333333333</v>
      </c>
    </row>
  </sheetData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73"/>
  <sheetViews>
    <sheetView zoomScale="75" zoomScaleNormal="75" topLeftCell="A86" workbookViewId="0">
      <selection activeCell="Z130" sqref="Z130"/>
    </sheetView>
  </sheetViews>
  <sheetFormatPr defaultColWidth="8.72727272727273" defaultRowHeight="14.5"/>
  <cols>
    <col min="2" max="4" width="9.54545454545454"/>
    <col min="7" max="7" width="9.54545454545454"/>
    <col min="8" max="8" width="10.5454545454545"/>
  </cols>
  <sheetData>
    <row r="1" ht="15.25" spans="1:12">
      <c r="A1" s="1" t="s">
        <v>0</v>
      </c>
      <c r="B1" t="s">
        <v>213</v>
      </c>
      <c r="C1" t="s">
        <v>214</v>
      </c>
      <c r="D1" t="s">
        <v>215</v>
      </c>
      <c r="E1" t="s">
        <v>207</v>
      </c>
      <c r="F1" t="s">
        <v>212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</row>
    <row r="2" spans="1:12">
      <c r="A2" s="2" t="s">
        <v>58</v>
      </c>
      <c r="B2" s="3">
        <v>-3.07446</v>
      </c>
      <c r="C2" s="3">
        <v>0.90979</v>
      </c>
      <c r="D2" s="3">
        <v>3.01974</v>
      </c>
      <c r="E2" s="3">
        <v>5</v>
      </c>
      <c r="F2" s="3">
        <v>4</v>
      </c>
      <c r="G2" s="3">
        <v>-4.14634</v>
      </c>
      <c r="H2" s="3">
        <v>0.446484</v>
      </c>
      <c r="I2" s="3">
        <v>1</v>
      </c>
      <c r="J2" s="3">
        <v>7</v>
      </c>
      <c r="K2" s="4">
        <v>4</v>
      </c>
      <c r="L2" s="5">
        <v>3</v>
      </c>
    </row>
    <row r="3" spans="1:12">
      <c r="A3" s="2" t="s">
        <v>11</v>
      </c>
      <c r="B3" s="3">
        <v>0.91112</v>
      </c>
      <c r="C3" s="3">
        <v>-0.62193</v>
      </c>
      <c r="D3" s="3">
        <v>-1.02097</v>
      </c>
      <c r="E3" s="3">
        <v>6</v>
      </c>
      <c r="F3" s="3">
        <v>7</v>
      </c>
      <c r="G3" s="3">
        <v>1.33685</v>
      </c>
      <c r="H3" s="3">
        <v>-0.48409</v>
      </c>
      <c r="I3" s="3">
        <v>2</v>
      </c>
      <c r="J3" s="3">
        <v>5</v>
      </c>
      <c r="K3" s="6">
        <v>7</v>
      </c>
      <c r="L3" s="6">
        <v>4</v>
      </c>
    </row>
    <row r="4" spans="1:12">
      <c r="A4" s="2" t="s">
        <v>20</v>
      </c>
      <c r="B4" s="3">
        <v>2.0783</v>
      </c>
      <c r="C4" s="3">
        <v>-1.16994</v>
      </c>
      <c r="D4" s="3">
        <v>2.35864</v>
      </c>
      <c r="E4" s="3">
        <v>6</v>
      </c>
      <c r="F4" s="3">
        <v>6</v>
      </c>
      <c r="G4" s="3">
        <v>1.08163</v>
      </c>
      <c r="H4" s="3">
        <v>-0.595066</v>
      </c>
      <c r="I4" s="3">
        <v>2</v>
      </c>
      <c r="J4" s="3">
        <v>5</v>
      </c>
      <c r="K4" s="7">
        <v>4</v>
      </c>
      <c r="L4" s="7">
        <v>6</v>
      </c>
    </row>
    <row r="5" spans="1:12">
      <c r="A5" s="2" t="s">
        <v>21</v>
      </c>
      <c r="B5" s="3">
        <v>0.00145</v>
      </c>
      <c r="C5" s="3">
        <v>-0.20046</v>
      </c>
      <c r="D5" s="3">
        <v>-1.98621</v>
      </c>
      <c r="E5" s="3">
        <v>7</v>
      </c>
      <c r="F5" s="3">
        <v>5</v>
      </c>
      <c r="G5" s="3">
        <v>0.85027</v>
      </c>
      <c r="H5" s="3">
        <v>-0.308452</v>
      </c>
      <c r="I5" s="3">
        <v>2</v>
      </c>
      <c r="J5" s="3">
        <v>5</v>
      </c>
      <c r="K5" s="7">
        <v>7</v>
      </c>
      <c r="L5" s="6">
        <v>7</v>
      </c>
    </row>
    <row r="6" spans="1:12">
      <c r="A6" s="2" t="s">
        <v>26</v>
      </c>
      <c r="B6" s="3">
        <v>0.53736</v>
      </c>
      <c r="C6" s="3">
        <v>-0.84752</v>
      </c>
      <c r="D6" s="3">
        <v>-0.49703</v>
      </c>
      <c r="E6" s="3">
        <v>6</v>
      </c>
      <c r="F6" s="3">
        <v>7</v>
      </c>
      <c r="G6" s="3">
        <v>0.82193</v>
      </c>
      <c r="H6" s="3">
        <v>-0.749761</v>
      </c>
      <c r="I6" s="3">
        <v>2</v>
      </c>
      <c r="J6" s="3">
        <v>5</v>
      </c>
      <c r="K6" s="6">
        <v>5</v>
      </c>
      <c r="L6" s="7">
        <v>1</v>
      </c>
    </row>
    <row r="7" spans="1:12">
      <c r="A7" s="2" t="s">
        <v>33</v>
      </c>
      <c r="B7" s="3">
        <v>0.93152</v>
      </c>
      <c r="C7" s="3">
        <v>-1.24276</v>
      </c>
      <c r="D7" s="3">
        <v>0.70254</v>
      </c>
      <c r="E7" s="3">
        <v>6</v>
      </c>
      <c r="F7" s="3">
        <v>6</v>
      </c>
      <c r="G7" s="3">
        <v>0.74531</v>
      </c>
      <c r="H7" s="3">
        <v>-0.989523</v>
      </c>
      <c r="I7" s="3">
        <v>2</v>
      </c>
      <c r="J7" s="3">
        <v>5</v>
      </c>
      <c r="K7" s="6">
        <v>4</v>
      </c>
      <c r="L7" s="6">
        <v>1</v>
      </c>
    </row>
    <row r="8" spans="1:12">
      <c r="A8" s="2" t="s">
        <v>51</v>
      </c>
      <c r="B8" s="3">
        <v>1.10163</v>
      </c>
      <c r="C8" s="3">
        <v>-0.82327</v>
      </c>
      <c r="D8" s="3">
        <v>-0.4112</v>
      </c>
      <c r="E8" s="3">
        <v>6</v>
      </c>
      <c r="F8" s="3">
        <v>7</v>
      </c>
      <c r="G8" s="3">
        <v>1.28913</v>
      </c>
      <c r="H8" s="3">
        <v>-0.60835</v>
      </c>
      <c r="I8" s="3">
        <v>2</v>
      </c>
      <c r="J8" s="3">
        <v>5</v>
      </c>
      <c r="K8" s="7">
        <v>4</v>
      </c>
      <c r="L8" s="6">
        <v>6</v>
      </c>
    </row>
    <row r="9" spans="1:12">
      <c r="A9" s="2" t="s">
        <v>73</v>
      </c>
      <c r="B9" s="3">
        <v>1.8636</v>
      </c>
      <c r="C9" s="3">
        <v>-0.84844</v>
      </c>
      <c r="D9" s="3">
        <v>0.06996</v>
      </c>
      <c r="E9" s="3">
        <v>6</v>
      </c>
      <c r="F9" s="3">
        <v>7</v>
      </c>
      <c r="G9" s="3">
        <v>1.77904</v>
      </c>
      <c r="H9" s="3">
        <v>-0.453325</v>
      </c>
      <c r="I9" s="3">
        <v>2</v>
      </c>
      <c r="J9" s="3">
        <v>5</v>
      </c>
      <c r="K9" s="6">
        <v>4</v>
      </c>
      <c r="L9" s="6">
        <v>6</v>
      </c>
    </row>
    <row r="10" spans="1:12">
      <c r="A10" s="2" t="s">
        <v>76</v>
      </c>
      <c r="B10" s="3">
        <v>0.67756</v>
      </c>
      <c r="C10" s="3">
        <v>-0.386</v>
      </c>
      <c r="D10" s="3">
        <v>-0.13765</v>
      </c>
      <c r="E10" s="3">
        <v>7</v>
      </c>
      <c r="F10" s="3">
        <v>7</v>
      </c>
      <c r="G10" s="3">
        <v>0.72626</v>
      </c>
      <c r="H10" s="3">
        <v>-0.249903</v>
      </c>
      <c r="I10" s="3">
        <v>2</v>
      </c>
      <c r="J10" s="3">
        <v>2</v>
      </c>
      <c r="K10" s="6">
        <v>6</v>
      </c>
      <c r="L10" s="7">
        <v>2</v>
      </c>
    </row>
    <row r="11" spans="1:12">
      <c r="A11" s="2" t="s">
        <v>87</v>
      </c>
      <c r="B11" s="3">
        <v>1.25625</v>
      </c>
      <c r="C11" s="3">
        <v>-0.26877</v>
      </c>
      <c r="D11" s="3">
        <v>0.19685</v>
      </c>
      <c r="E11" s="3">
        <v>6</v>
      </c>
      <c r="F11" s="3">
        <v>7</v>
      </c>
      <c r="G11" s="3">
        <v>1.08929</v>
      </c>
      <c r="H11" s="3">
        <v>-0.000556</v>
      </c>
      <c r="I11" s="3">
        <v>2</v>
      </c>
      <c r="J11" s="3">
        <v>5</v>
      </c>
      <c r="K11" s="6">
        <v>6</v>
      </c>
      <c r="L11" s="6">
        <v>6</v>
      </c>
    </row>
    <row r="12" spans="1:12">
      <c r="A12" s="2" t="s">
        <v>25</v>
      </c>
      <c r="B12" s="3">
        <v>-1.1735</v>
      </c>
      <c r="C12" s="3">
        <v>-0.70038</v>
      </c>
      <c r="D12" s="3">
        <v>0.96536</v>
      </c>
      <c r="E12" s="3">
        <v>3</v>
      </c>
      <c r="F12" s="3">
        <v>3</v>
      </c>
      <c r="G12" s="3">
        <v>-1.33841</v>
      </c>
      <c r="H12" s="3">
        <v>-0.864968</v>
      </c>
      <c r="I12" s="3">
        <v>3</v>
      </c>
      <c r="J12" s="3">
        <v>4</v>
      </c>
      <c r="K12" s="7">
        <v>5</v>
      </c>
      <c r="L12" s="6">
        <v>3</v>
      </c>
    </row>
    <row r="13" spans="1:12">
      <c r="A13" s="2" t="s">
        <v>29</v>
      </c>
      <c r="B13" s="3">
        <v>-1.64366</v>
      </c>
      <c r="C13" s="3">
        <v>0.05369</v>
      </c>
      <c r="D13" s="3">
        <v>0.17561</v>
      </c>
      <c r="E13" s="3">
        <v>1</v>
      </c>
      <c r="F13" s="3">
        <v>3</v>
      </c>
      <c r="G13" s="3">
        <v>-1.55584</v>
      </c>
      <c r="H13" s="3">
        <v>-0.26616</v>
      </c>
      <c r="I13" s="3">
        <v>3</v>
      </c>
      <c r="J13" s="3">
        <v>4</v>
      </c>
      <c r="K13" s="6">
        <v>7</v>
      </c>
      <c r="L13" s="6">
        <v>3</v>
      </c>
    </row>
    <row r="14" spans="1:12">
      <c r="A14" s="2" t="s">
        <v>57</v>
      </c>
      <c r="B14" s="3">
        <v>-1.5319</v>
      </c>
      <c r="C14" s="3">
        <v>-0.46989</v>
      </c>
      <c r="D14" s="3">
        <v>1.71561</v>
      </c>
      <c r="E14" s="3">
        <v>5</v>
      </c>
      <c r="F14" s="3">
        <v>4</v>
      </c>
      <c r="G14" s="3">
        <v>-2.00542</v>
      </c>
      <c r="H14" s="3">
        <v>-0.668617</v>
      </c>
      <c r="I14" s="3">
        <v>3</v>
      </c>
      <c r="J14" s="3">
        <v>4</v>
      </c>
      <c r="K14" s="7">
        <v>1</v>
      </c>
      <c r="L14" s="6">
        <v>3</v>
      </c>
    </row>
    <row r="15" spans="1:12">
      <c r="A15" s="2" t="s">
        <v>59</v>
      </c>
      <c r="B15" s="3">
        <v>-1.60754</v>
      </c>
      <c r="C15" s="3">
        <v>0.18834</v>
      </c>
      <c r="D15" s="3">
        <v>-0.29153</v>
      </c>
      <c r="E15" s="3">
        <v>1</v>
      </c>
      <c r="F15" s="3">
        <v>3</v>
      </c>
      <c r="G15" s="3">
        <v>-1.35277</v>
      </c>
      <c r="H15" s="3">
        <v>-0.153724</v>
      </c>
      <c r="I15" s="3">
        <v>3</v>
      </c>
      <c r="J15" s="3">
        <v>4</v>
      </c>
      <c r="K15" s="7">
        <v>5</v>
      </c>
      <c r="L15" s="6">
        <v>3</v>
      </c>
    </row>
    <row r="16" spans="1:12">
      <c r="A16" s="2" t="s">
        <v>66</v>
      </c>
      <c r="B16" s="3">
        <v>-1.38878</v>
      </c>
      <c r="C16" s="3">
        <v>0.12187</v>
      </c>
      <c r="D16" s="3">
        <v>0.46258</v>
      </c>
      <c r="E16" s="3">
        <v>1</v>
      </c>
      <c r="F16" s="3">
        <v>3</v>
      </c>
      <c r="G16" s="3">
        <v>-1.45602</v>
      </c>
      <c r="H16" s="3">
        <v>-0.13223</v>
      </c>
      <c r="I16" s="3">
        <v>3</v>
      </c>
      <c r="J16" s="3">
        <v>4</v>
      </c>
      <c r="K16" s="6">
        <v>7</v>
      </c>
      <c r="L16" s="7">
        <v>3</v>
      </c>
    </row>
    <row r="17" spans="1:12">
      <c r="A17" s="2" t="s">
        <v>90</v>
      </c>
      <c r="B17" s="3">
        <v>-1.73873</v>
      </c>
      <c r="C17" s="3">
        <v>0.0819</v>
      </c>
      <c r="D17" s="3">
        <v>1.87122</v>
      </c>
      <c r="E17" s="3">
        <v>5</v>
      </c>
      <c r="F17" s="3">
        <v>4</v>
      </c>
      <c r="G17" s="3">
        <v>-2.3431</v>
      </c>
      <c r="H17" s="3">
        <v>-0.161402</v>
      </c>
      <c r="I17" s="3">
        <v>3</v>
      </c>
      <c r="J17" s="3">
        <v>4</v>
      </c>
      <c r="K17" s="7">
        <v>7</v>
      </c>
      <c r="L17" s="7">
        <v>3</v>
      </c>
    </row>
    <row r="18" spans="1:12">
      <c r="A18" s="2" t="s">
        <v>42</v>
      </c>
      <c r="B18" s="3">
        <v>0.09378</v>
      </c>
      <c r="C18" s="3">
        <v>4.10412</v>
      </c>
      <c r="D18" s="3">
        <v>0.44071</v>
      </c>
      <c r="E18" s="3">
        <v>2</v>
      </c>
      <c r="F18" s="3">
        <v>1</v>
      </c>
      <c r="G18" s="3">
        <v>-0.75208</v>
      </c>
      <c r="H18" s="3">
        <v>4.058255</v>
      </c>
      <c r="I18" s="3">
        <v>4</v>
      </c>
      <c r="J18" s="3">
        <v>6</v>
      </c>
      <c r="K18" s="7">
        <v>4</v>
      </c>
      <c r="L18" s="7">
        <v>5</v>
      </c>
    </row>
    <row r="19" spans="1:12">
      <c r="A19" s="2" t="s">
        <v>92</v>
      </c>
      <c r="B19" s="3">
        <v>1.07573</v>
      </c>
      <c r="C19" s="3">
        <v>4.19239</v>
      </c>
      <c r="D19" s="3">
        <v>-0.97329</v>
      </c>
      <c r="E19" s="3">
        <v>2</v>
      </c>
      <c r="F19" s="3">
        <v>1</v>
      </c>
      <c r="G19" s="3">
        <v>0.69666</v>
      </c>
      <c r="H19" s="3">
        <v>4.260723</v>
      </c>
      <c r="I19" s="3">
        <v>4</v>
      </c>
      <c r="J19" s="3">
        <v>6</v>
      </c>
      <c r="K19" s="6">
        <v>5</v>
      </c>
      <c r="L19" s="7">
        <v>5</v>
      </c>
    </row>
    <row r="20" spans="1:12">
      <c r="A20" s="2" t="s">
        <v>12</v>
      </c>
      <c r="B20" s="3">
        <v>0.74532</v>
      </c>
      <c r="C20" s="3">
        <v>0.83934</v>
      </c>
      <c r="D20" s="3">
        <v>0.05188</v>
      </c>
      <c r="E20" s="3">
        <v>4</v>
      </c>
      <c r="F20" s="3">
        <v>1</v>
      </c>
      <c r="G20" s="3">
        <v>0.51357</v>
      </c>
      <c r="H20" s="3">
        <v>0.972977</v>
      </c>
      <c r="I20" s="3">
        <v>5</v>
      </c>
      <c r="J20" s="3">
        <v>6</v>
      </c>
      <c r="K20" s="7">
        <v>2</v>
      </c>
      <c r="L20" s="7">
        <v>2</v>
      </c>
    </row>
    <row r="21" spans="1:12">
      <c r="A21" s="2" t="s">
        <v>28</v>
      </c>
      <c r="B21" s="3">
        <v>2.12</v>
      </c>
      <c r="C21" s="3">
        <v>1.02301</v>
      </c>
      <c r="D21" s="3">
        <v>-0.59904</v>
      </c>
      <c r="E21" s="3">
        <v>4</v>
      </c>
      <c r="F21" s="3">
        <v>1</v>
      </c>
      <c r="G21" s="3">
        <v>1.98565</v>
      </c>
      <c r="H21" s="3">
        <v>1.390577</v>
      </c>
      <c r="I21" s="3">
        <v>5</v>
      </c>
      <c r="J21" s="3">
        <v>6</v>
      </c>
      <c r="K21" s="6">
        <v>4</v>
      </c>
      <c r="L21" s="7">
        <v>6</v>
      </c>
    </row>
    <row r="22" spans="1:12">
      <c r="A22" s="2" t="s">
        <v>39</v>
      </c>
      <c r="B22" s="3">
        <v>1.64702</v>
      </c>
      <c r="C22" s="3">
        <v>1.5877</v>
      </c>
      <c r="D22" s="3">
        <v>0.08698</v>
      </c>
      <c r="E22" s="3">
        <v>4</v>
      </c>
      <c r="F22" s="3">
        <v>1</v>
      </c>
      <c r="G22" s="3">
        <v>1.1889</v>
      </c>
      <c r="H22" s="3">
        <v>1.88728</v>
      </c>
      <c r="I22" s="3">
        <v>5</v>
      </c>
      <c r="J22" s="3">
        <v>6</v>
      </c>
      <c r="K22" s="7">
        <v>5</v>
      </c>
      <c r="L22" s="6">
        <v>6</v>
      </c>
    </row>
    <row r="23" spans="1:12">
      <c r="A23" s="2" t="s">
        <v>41</v>
      </c>
      <c r="B23" s="3">
        <v>1.52134</v>
      </c>
      <c r="C23" s="3">
        <v>0.6963</v>
      </c>
      <c r="D23" s="3">
        <v>0.41955</v>
      </c>
      <c r="E23" s="3">
        <v>4</v>
      </c>
      <c r="F23" s="3">
        <v>1</v>
      </c>
      <c r="G23" s="3">
        <v>1.08157</v>
      </c>
      <c r="H23" s="3">
        <v>1.009081</v>
      </c>
      <c r="I23" s="3">
        <v>5</v>
      </c>
      <c r="J23" s="3">
        <v>6</v>
      </c>
      <c r="K23" s="6">
        <v>5</v>
      </c>
      <c r="L23" s="6">
        <v>6</v>
      </c>
    </row>
    <row r="24" spans="1:12">
      <c r="A24" s="2" t="s">
        <v>60</v>
      </c>
      <c r="B24" s="3">
        <v>0.97577</v>
      </c>
      <c r="C24" s="3">
        <v>0.82157</v>
      </c>
      <c r="D24" s="3">
        <v>-0.33086</v>
      </c>
      <c r="E24" s="3">
        <v>4</v>
      </c>
      <c r="F24" s="3">
        <v>1</v>
      </c>
      <c r="G24" s="3">
        <v>0.88065</v>
      </c>
      <c r="H24" s="3">
        <v>0.979964</v>
      </c>
      <c r="I24" s="3">
        <v>5</v>
      </c>
      <c r="J24" s="3">
        <v>6</v>
      </c>
      <c r="K24" s="7">
        <v>5</v>
      </c>
      <c r="L24" s="7">
        <v>2</v>
      </c>
    </row>
    <row r="25" spans="1:12">
      <c r="A25" s="2" t="s">
        <v>61</v>
      </c>
      <c r="B25" s="3">
        <v>0.28999</v>
      </c>
      <c r="C25" s="3">
        <v>1.22451</v>
      </c>
      <c r="D25" s="3">
        <v>-0.02322</v>
      </c>
      <c r="E25" s="3">
        <v>4</v>
      </c>
      <c r="F25" s="3">
        <v>1</v>
      </c>
      <c r="G25" s="3">
        <v>0.07437</v>
      </c>
      <c r="H25" s="3">
        <v>1.254434</v>
      </c>
      <c r="I25" s="3">
        <v>5</v>
      </c>
      <c r="J25" s="3">
        <v>6</v>
      </c>
      <c r="K25" s="6">
        <v>4</v>
      </c>
      <c r="L25" s="6">
        <v>2</v>
      </c>
    </row>
    <row r="26" spans="1:12">
      <c r="A26" s="2" t="s">
        <v>65</v>
      </c>
      <c r="B26" s="3">
        <v>0.75798</v>
      </c>
      <c r="C26" s="3">
        <v>1.15495</v>
      </c>
      <c r="D26" s="3">
        <v>0.81492</v>
      </c>
      <c r="E26" s="3">
        <v>4</v>
      </c>
      <c r="F26" s="3">
        <v>1</v>
      </c>
      <c r="G26" s="3">
        <v>0.16071</v>
      </c>
      <c r="H26" s="3">
        <v>1.327507</v>
      </c>
      <c r="I26" s="3">
        <v>5</v>
      </c>
      <c r="J26" s="3">
        <v>6</v>
      </c>
      <c r="K26" s="7">
        <v>5</v>
      </c>
      <c r="L26" s="6">
        <v>2</v>
      </c>
    </row>
    <row r="27" spans="1:12">
      <c r="A27" s="2" t="s">
        <v>75</v>
      </c>
      <c r="B27" s="3">
        <v>2.17034</v>
      </c>
      <c r="C27" s="3">
        <v>0.10079</v>
      </c>
      <c r="D27" s="3">
        <v>0.131</v>
      </c>
      <c r="E27" s="3">
        <v>6</v>
      </c>
      <c r="F27" s="3">
        <v>7</v>
      </c>
      <c r="G27" s="3">
        <v>1.87772</v>
      </c>
      <c r="H27" s="3">
        <v>0.53997</v>
      </c>
      <c r="I27" s="3">
        <v>5</v>
      </c>
      <c r="J27" s="3">
        <v>5</v>
      </c>
      <c r="K27" s="7">
        <v>5</v>
      </c>
      <c r="L27" s="6">
        <v>6</v>
      </c>
    </row>
    <row r="28" spans="1:12">
      <c r="A28" s="2" t="s">
        <v>88</v>
      </c>
      <c r="B28" s="3">
        <v>1.30293</v>
      </c>
      <c r="C28" s="3">
        <v>1.34851</v>
      </c>
      <c r="D28" s="3">
        <v>1.14908</v>
      </c>
      <c r="E28" s="3">
        <v>4</v>
      </c>
      <c r="F28" s="3">
        <v>1</v>
      </c>
      <c r="G28" s="3">
        <v>0.48141</v>
      </c>
      <c r="H28" s="3">
        <v>1.644753</v>
      </c>
      <c r="I28" s="3">
        <v>5</v>
      </c>
      <c r="J28" s="3">
        <v>6</v>
      </c>
      <c r="K28" s="7">
        <v>6</v>
      </c>
      <c r="L28" s="7">
        <v>6</v>
      </c>
    </row>
    <row r="29" spans="1:12">
      <c r="A29" s="2" t="s">
        <v>93</v>
      </c>
      <c r="B29" s="3">
        <v>1.78576</v>
      </c>
      <c r="C29" s="3">
        <v>1.32683</v>
      </c>
      <c r="D29" s="3">
        <v>0.63588</v>
      </c>
      <c r="E29" s="3">
        <v>4</v>
      </c>
      <c r="F29" s="3">
        <v>1</v>
      </c>
      <c r="G29" s="3">
        <v>1.12926</v>
      </c>
      <c r="H29" s="3">
        <v>1.690975</v>
      </c>
      <c r="I29" s="3">
        <v>5</v>
      </c>
      <c r="J29" s="3">
        <v>6</v>
      </c>
      <c r="K29" s="6">
        <v>5</v>
      </c>
      <c r="L29" s="6">
        <v>6</v>
      </c>
    </row>
    <row r="30" spans="1:12">
      <c r="A30" s="2" t="s">
        <v>10</v>
      </c>
      <c r="B30" s="3">
        <v>-0.26227</v>
      </c>
      <c r="C30" s="3">
        <v>-0.20902</v>
      </c>
      <c r="D30" s="3">
        <v>-1.00301</v>
      </c>
      <c r="E30" s="3">
        <v>7</v>
      </c>
      <c r="F30" s="3">
        <v>5</v>
      </c>
      <c r="G30" s="3">
        <v>0.21056</v>
      </c>
      <c r="H30" s="3">
        <v>-0.313787</v>
      </c>
      <c r="I30" s="3">
        <v>6</v>
      </c>
      <c r="J30" s="3">
        <v>2</v>
      </c>
      <c r="K30" s="6">
        <v>6</v>
      </c>
      <c r="L30" s="7">
        <v>2</v>
      </c>
    </row>
    <row r="31" spans="1:12">
      <c r="A31" s="2" t="s">
        <v>14</v>
      </c>
      <c r="B31" s="3">
        <v>0.14323</v>
      </c>
      <c r="C31" s="3">
        <v>-0.28674</v>
      </c>
      <c r="D31" s="3">
        <v>-0.03798</v>
      </c>
      <c r="E31" s="3">
        <v>7</v>
      </c>
      <c r="F31" s="3">
        <v>2</v>
      </c>
      <c r="G31" s="3">
        <v>0.18992</v>
      </c>
      <c r="H31" s="3">
        <v>-0.253995</v>
      </c>
      <c r="I31" s="3">
        <v>6</v>
      </c>
      <c r="J31" s="3">
        <v>2</v>
      </c>
      <c r="K31" s="7">
        <v>6</v>
      </c>
      <c r="L31" s="7">
        <v>4</v>
      </c>
    </row>
    <row r="32" spans="1:12">
      <c r="A32" s="2" t="s">
        <v>16</v>
      </c>
      <c r="B32" s="3">
        <v>-0.25152</v>
      </c>
      <c r="C32" s="3">
        <v>0.0215</v>
      </c>
      <c r="D32" s="3">
        <v>-0.48333</v>
      </c>
      <c r="E32" s="3">
        <v>7</v>
      </c>
      <c r="F32" s="3">
        <v>5</v>
      </c>
      <c r="G32" s="3">
        <v>-0.03034</v>
      </c>
      <c r="H32" s="3">
        <v>-0.056678</v>
      </c>
      <c r="I32" s="3">
        <v>6</v>
      </c>
      <c r="J32" s="3">
        <v>3</v>
      </c>
      <c r="K32" s="6">
        <v>6</v>
      </c>
      <c r="L32" s="7">
        <v>2</v>
      </c>
    </row>
    <row r="33" spans="1:12">
      <c r="A33" s="2" t="s">
        <v>18</v>
      </c>
      <c r="B33" s="3">
        <v>-0.20246</v>
      </c>
      <c r="C33" s="3">
        <v>0.26723</v>
      </c>
      <c r="D33" s="3">
        <v>0.09176</v>
      </c>
      <c r="E33" s="3">
        <v>7</v>
      </c>
      <c r="F33" s="3">
        <v>2</v>
      </c>
      <c r="G33" s="3">
        <v>-0.26208</v>
      </c>
      <c r="H33" s="3">
        <v>0.226123</v>
      </c>
      <c r="I33" s="3">
        <v>6</v>
      </c>
      <c r="J33" s="3">
        <v>3</v>
      </c>
      <c r="K33" s="7">
        <v>3</v>
      </c>
      <c r="L33" s="7">
        <v>2</v>
      </c>
    </row>
    <row r="34" spans="1:12">
      <c r="A34" s="2" t="s">
        <v>19</v>
      </c>
      <c r="B34" s="3">
        <v>0.14522</v>
      </c>
      <c r="C34" s="3">
        <v>-0.65443</v>
      </c>
      <c r="D34" s="3">
        <v>-0.07672</v>
      </c>
      <c r="E34" s="3">
        <v>7</v>
      </c>
      <c r="F34" s="3">
        <v>2</v>
      </c>
      <c r="G34" s="3">
        <v>0.26632</v>
      </c>
      <c r="H34" s="3">
        <v>-0.61545</v>
      </c>
      <c r="I34" s="3">
        <v>6</v>
      </c>
      <c r="J34" s="3">
        <v>2</v>
      </c>
      <c r="K34" s="6">
        <v>6</v>
      </c>
      <c r="L34" s="6">
        <v>4</v>
      </c>
    </row>
    <row r="35" spans="1:12">
      <c r="A35" s="2" t="s">
        <v>22</v>
      </c>
      <c r="B35" s="3">
        <v>-0.08327</v>
      </c>
      <c r="C35" s="3">
        <v>-0.48612</v>
      </c>
      <c r="D35" s="3">
        <v>-0.92776</v>
      </c>
      <c r="E35" s="3">
        <v>7</v>
      </c>
      <c r="F35" s="3">
        <v>5</v>
      </c>
      <c r="G35" s="3">
        <v>0.38446</v>
      </c>
      <c r="H35" s="3">
        <v>-0.544774</v>
      </c>
      <c r="I35" s="3">
        <v>6</v>
      </c>
      <c r="J35" s="3">
        <v>2</v>
      </c>
      <c r="K35" s="6">
        <v>4</v>
      </c>
      <c r="L35" s="7">
        <v>7</v>
      </c>
    </row>
    <row r="36" spans="1:12">
      <c r="A36" s="2" t="s">
        <v>23</v>
      </c>
      <c r="B36" s="3">
        <v>-0.11519</v>
      </c>
      <c r="C36" s="3">
        <v>-0.21561</v>
      </c>
      <c r="D36" s="3">
        <v>-0.33966</v>
      </c>
      <c r="E36" s="3">
        <v>7</v>
      </c>
      <c r="F36" s="3">
        <v>2</v>
      </c>
      <c r="G36" s="3">
        <v>0.07074</v>
      </c>
      <c r="H36" s="3">
        <v>-0.253199</v>
      </c>
      <c r="I36" s="3">
        <v>6</v>
      </c>
      <c r="J36" s="3">
        <v>3</v>
      </c>
      <c r="K36" s="6">
        <v>5</v>
      </c>
      <c r="L36" s="6">
        <v>2</v>
      </c>
    </row>
    <row r="37" spans="1:12">
      <c r="A37" s="2" t="s">
        <v>24</v>
      </c>
      <c r="B37" s="3">
        <v>0.10844</v>
      </c>
      <c r="C37" s="3">
        <v>-0.0637</v>
      </c>
      <c r="D37" s="3">
        <v>-0.47701</v>
      </c>
      <c r="E37" s="3">
        <v>7</v>
      </c>
      <c r="F37" s="3">
        <v>5</v>
      </c>
      <c r="G37" s="3">
        <v>0.30368</v>
      </c>
      <c r="H37" s="3">
        <v>-0.067684</v>
      </c>
      <c r="I37" s="3">
        <v>6</v>
      </c>
      <c r="J37" s="3">
        <v>2</v>
      </c>
      <c r="K37" s="7">
        <v>4</v>
      </c>
      <c r="L37" s="7">
        <v>2</v>
      </c>
    </row>
    <row r="38" spans="1:12">
      <c r="A38" s="2" t="s">
        <v>30</v>
      </c>
      <c r="B38" s="3">
        <v>-0.17365</v>
      </c>
      <c r="C38" s="3">
        <v>-0.07328</v>
      </c>
      <c r="D38" s="3">
        <v>-0.71412</v>
      </c>
      <c r="E38" s="3">
        <v>7</v>
      </c>
      <c r="F38" s="3">
        <v>5</v>
      </c>
      <c r="G38" s="3">
        <v>0.14959</v>
      </c>
      <c r="H38" s="3">
        <v>-0.146907</v>
      </c>
      <c r="I38" s="3">
        <v>6</v>
      </c>
      <c r="J38" s="3">
        <v>2</v>
      </c>
      <c r="K38" s="7">
        <v>5</v>
      </c>
      <c r="L38" s="7">
        <v>4</v>
      </c>
    </row>
    <row r="39" spans="1:12">
      <c r="A39" s="2" t="s">
        <v>31</v>
      </c>
      <c r="B39" s="3">
        <v>-0.24855</v>
      </c>
      <c r="C39" s="3">
        <v>0.03701</v>
      </c>
      <c r="D39" s="3">
        <v>-0.39691</v>
      </c>
      <c r="E39" s="3">
        <v>7</v>
      </c>
      <c r="F39" s="3">
        <v>5</v>
      </c>
      <c r="G39" s="3">
        <v>-0.0657</v>
      </c>
      <c r="H39" s="3">
        <v>-0.036003</v>
      </c>
      <c r="I39" s="3">
        <v>6</v>
      </c>
      <c r="J39" s="3">
        <v>3</v>
      </c>
      <c r="K39" s="6">
        <v>5</v>
      </c>
      <c r="L39" s="6">
        <v>2</v>
      </c>
    </row>
    <row r="40" spans="1:12">
      <c r="A40" s="2" t="s">
        <v>32</v>
      </c>
      <c r="B40" s="3">
        <v>-0.02994</v>
      </c>
      <c r="C40" s="3">
        <v>-0.30278</v>
      </c>
      <c r="D40" s="3">
        <v>-0.70837</v>
      </c>
      <c r="E40" s="3">
        <v>7</v>
      </c>
      <c r="F40" s="3">
        <v>5</v>
      </c>
      <c r="G40" s="3">
        <v>0.31282</v>
      </c>
      <c r="H40" s="3">
        <v>-0.34233</v>
      </c>
      <c r="I40" s="3">
        <v>6</v>
      </c>
      <c r="J40" s="3">
        <v>2</v>
      </c>
      <c r="K40" s="6">
        <v>4</v>
      </c>
      <c r="L40" s="7">
        <v>4</v>
      </c>
    </row>
    <row r="41" spans="1:12">
      <c r="A41" s="2" t="s">
        <v>34</v>
      </c>
      <c r="B41" s="3">
        <v>0.38121</v>
      </c>
      <c r="C41" s="3">
        <v>-0.13018</v>
      </c>
      <c r="D41" s="3">
        <v>-0.0452</v>
      </c>
      <c r="E41" s="3">
        <v>7</v>
      </c>
      <c r="F41" s="3">
        <v>2</v>
      </c>
      <c r="G41" s="3">
        <v>0.38147</v>
      </c>
      <c r="H41" s="3">
        <v>-0.053682</v>
      </c>
      <c r="I41" s="3">
        <v>6</v>
      </c>
      <c r="J41" s="3">
        <v>2</v>
      </c>
      <c r="K41" s="7">
        <v>5</v>
      </c>
      <c r="L41" s="7">
        <v>1</v>
      </c>
    </row>
    <row r="42" spans="1:12">
      <c r="A42" s="2" t="s">
        <v>35</v>
      </c>
      <c r="B42" s="3">
        <v>-0.63976</v>
      </c>
      <c r="C42" s="3">
        <v>0.19161</v>
      </c>
      <c r="D42" s="3">
        <v>-0.93111</v>
      </c>
      <c r="E42" s="3">
        <v>7</v>
      </c>
      <c r="F42" s="3">
        <v>5</v>
      </c>
      <c r="G42" s="3">
        <v>-0.22172</v>
      </c>
      <c r="H42" s="3">
        <v>0.006699</v>
      </c>
      <c r="I42" s="3">
        <v>6</v>
      </c>
      <c r="J42" s="3">
        <v>3</v>
      </c>
      <c r="K42" s="7">
        <v>4</v>
      </c>
      <c r="L42" s="6">
        <v>4</v>
      </c>
    </row>
    <row r="43" spans="1:12">
      <c r="A43" s="2" t="s">
        <v>36</v>
      </c>
      <c r="B43" s="3">
        <v>-0.15471</v>
      </c>
      <c r="C43" s="3">
        <v>-0.59689</v>
      </c>
      <c r="D43" s="3">
        <v>-0.12465</v>
      </c>
      <c r="E43" s="3">
        <v>7</v>
      </c>
      <c r="F43" s="3">
        <v>2</v>
      </c>
      <c r="G43" s="3">
        <v>0.00769</v>
      </c>
      <c r="H43" s="3">
        <v>-0.621859</v>
      </c>
      <c r="I43" s="3">
        <v>6</v>
      </c>
      <c r="J43" s="3">
        <v>3</v>
      </c>
      <c r="K43" s="6">
        <v>5</v>
      </c>
      <c r="L43" s="7">
        <v>1</v>
      </c>
    </row>
    <row r="44" spans="1:12">
      <c r="A44" s="2" t="s">
        <v>38</v>
      </c>
      <c r="B44" s="3">
        <v>-0.06215</v>
      </c>
      <c r="C44" s="3">
        <v>-0.36242</v>
      </c>
      <c r="D44" s="3">
        <v>-0.08838</v>
      </c>
      <c r="E44" s="3">
        <v>7</v>
      </c>
      <c r="F44" s="3">
        <v>2</v>
      </c>
      <c r="G44" s="3">
        <v>0.03842</v>
      </c>
      <c r="H44" s="3">
        <v>-0.371945</v>
      </c>
      <c r="I44" s="3">
        <v>6</v>
      </c>
      <c r="J44" s="3">
        <v>3</v>
      </c>
      <c r="K44" s="6">
        <v>6</v>
      </c>
      <c r="L44" s="7">
        <v>4</v>
      </c>
    </row>
    <row r="45" spans="1:12">
      <c r="A45" s="2" t="s">
        <v>40</v>
      </c>
      <c r="B45" s="3">
        <v>0.88322</v>
      </c>
      <c r="C45" s="3">
        <v>-0.56119</v>
      </c>
      <c r="D45" s="3">
        <v>1.4584</v>
      </c>
      <c r="E45" s="3">
        <v>6</v>
      </c>
      <c r="F45" s="3">
        <v>6</v>
      </c>
      <c r="G45" s="3">
        <v>0.2823</v>
      </c>
      <c r="H45" s="3">
        <v>-0.289623</v>
      </c>
      <c r="I45" s="3">
        <v>6</v>
      </c>
      <c r="J45" s="3">
        <v>2</v>
      </c>
      <c r="K45" s="6">
        <v>4</v>
      </c>
      <c r="L45" s="7">
        <v>1</v>
      </c>
    </row>
    <row r="46" spans="1:12">
      <c r="A46" s="2" t="s">
        <v>43</v>
      </c>
      <c r="B46" s="3">
        <v>0.2422</v>
      </c>
      <c r="C46" s="3">
        <v>-0.26927</v>
      </c>
      <c r="D46" s="3">
        <v>-0.05281</v>
      </c>
      <c r="E46" s="3">
        <v>7</v>
      </c>
      <c r="F46" s="3">
        <v>2</v>
      </c>
      <c r="G46" s="3">
        <v>0.28205</v>
      </c>
      <c r="H46" s="3">
        <v>-0.217957</v>
      </c>
      <c r="I46" s="3">
        <v>6</v>
      </c>
      <c r="J46" s="3">
        <v>2</v>
      </c>
      <c r="K46" s="7">
        <v>5</v>
      </c>
      <c r="L46" s="6">
        <v>2</v>
      </c>
    </row>
    <row r="47" spans="1:12">
      <c r="A47" s="2" t="s">
        <v>44</v>
      </c>
      <c r="B47" s="3">
        <v>-0.01986</v>
      </c>
      <c r="C47" s="3">
        <v>-0.11342</v>
      </c>
      <c r="D47" s="3">
        <v>-0.33646</v>
      </c>
      <c r="E47" s="3">
        <v>7</v>
      </c>
      <c r="F47" s="3">
        <v>2</v>
      </c>
      <c r="G47" s="3">
        <v>0.13868</v>
      </c>
      <c r="H47" s="3">
        <v>-0.134001</v>
      </c>
      <c r="I47" s="3">
        <v>6</v>
      </c>
      <c r="J47" s="3">
        <v>2</v>
      </c>
      <c r="K47" s="7">
        <v>7</v>
      </c>
      <c r="L47" s="7">
        <v>4</v>
      </c>
    </row>
    <row r="48" spans="1:12">
      <c r="A48" s="2" t="s">
        <v>45</v>
      </c>
      <c r="B48" s="3">
        <v>0.32056</v>
      </c>
      <c r="C48" s="3">
        <v>-0.55138</v>
      </c>
      <c r="D48" s="3">
        <v>-0.27253</v>
      </c>
      <c r="E48" s="3">
        <v>7</v>
      </c>
      <c r="F48" s="3">
        <v>2</v>
      </c>
      <c r="G48" s="3">
        <v>0.48777</v>
      </c>
      <c r="H48" s="3">
        <v>-0.490705</v>
      </c>
      <c r="I48" s="3">
        <v>6</v>
      </c>
      <c r="J48" s="3">
        <v>2</v>
      </c>
      <c r="K48" s="7">
        <v>2</v>
      </c>
      <c r="L48" s="6">
        <v>1</v>
      </c>
    </row>
    <row r="49" spans="1:12">
      <c r="A49" s="2" t="s">
        <v>46</v>
      </c>
      <c r="B49" s="3">
        <v>-0.05551</v>
      </c>
      <c r="C49" s="3">
        <v>-0.45106</v>
      </c>
      <c r="D49" s="3">
        <v>-0.70775</v>
      </c>
      <c r="E49" s="3">
        <v>7</v>
      </c>
      <c r="F49" s="3">
        <v>5</v>
      </c>
      <c r="G49" s="3">
        <v>0.31329</v>
      </c>
      <c r="H49" s="3">
        <v>-0.492457</v>
      </c>
      <c r="I49" s="3">
        <v>6</v>
      </c>
      <c r="J49" s="3">
        <v>2</v>
      </c>
      <c r="K49" s="7">
        <v>3</v>
      </c>
      <c r="L49" s="7">
        <v>7</v>
      </c>
    </row>
    <row r="50" spans="1:12">
      <c r="A50" s="2" t="s">
        <v>48</v>
      </c>
      <c r="B50" s="3">
        <v>-0.25228</v>
      </c>
      <c r="C50" s="3">
        <v>0.01695</v>
      </c>
      <c r="D50" s="3">
        <v>-0.3575</v>
      </c>
      <c r="E50" s="3">
        <v>7</v>
      </c>
      <c r="F50" s="3">
        <v>5</v>
      </c>
      <c r="G50" s="3">
        <v>-0.08206</v>
      </c>
      <c r="H50" s="3">
        <v>-0.054138</v>
      </c>
      <c r="I50" s="3">
        <v>6</v>
      </c>
      <c r="J50" s="3">
        <v>3</v>
      </c>
      <c r="K50" s="6">
        <v>4</v>
      </c>
      <c r="L50" s="7">
        <v>2</v>
      </c>
    </row>
    <row r="51" spans="1:12">
      <c r="A51" s="2" t="s">
        <v>50</v>
      </c>
      <c r="B51" s="3">
        <v>0.12032</v>
      </c>
      <c r="C51" s="3">
        <v>-0.18416</v>
      </c>
      <c r="D51" s="3">
        <v>0.1361</v>
      </c>
      <c r="E51" s="3">
        <v>7</v>
      </c>
      <c r="F51" s="3">
        <v>2</v>
      </c>
      <c r="G51" s="3">
        <v>0.08138</v>
      </c>
      <c r="H51" s="3">
        <v>-0.148364</v>
      </c>
      <c r="I51" s="3">
        <v>6</v>
      </c>
      <c r="J51" s="3">
        <v>3</v>
      </c>
      <c r="K51" s="6">
        <v>1</v>
      </c>
      <c r="L51" s="7">
        <v>1</v>
      </c>
    </row>
    <row r="52" spans="1:12">
      <c r="A52" s="2" t="s">
        <v>52</v>
      </c>
      <c r="B52" s="3">
        <v>0.04582</v>
      </c>
      <c r="C52" s="3">
        <v>-0.45081</v>
      </c>
      <c r="D52" s="3">
        <v>-0.51827</v>
      </c>
      <c r="E52" s="3">
        <v>7</v>
      </c>
      <c r="F52" s="3">
        <v>5</v>
      </c>
      <c r="G52" s="3">
        <v>0.32624</v>
      </c>
      <c r="H52" s="3">
        <v>-0.461201</v>
      </c>
      <c r="I52" s="3">
        <v>6</v>
      </c>
      <c r="J52" s="3">
        <v>2</v>
      </c>
      <c r="K52" s="7">
        <v>1</v>
      </c>
      <c r="L52" s="7">
        <v>1</v>
      </c>
    </row>
    <row r="53" spans="1:12">
      <c r="A53" s="2" t="s">
        <v>55</v>
      </c>
      <c r="B53" s="3">
        <v>-0.16298</v>
      </c>
      <c r="C53" s="3">
        <v>-0.069</v>
      </c>
      <c r="D53" s="3">
        <v>-0.09164</v>
      </c>
      <c r="E53" s="3">
        <v>7</v>
      </c>
      <c r="F53" s="3">
        <v>2</v>
      </c>
      <c r="G53" s="3">
        <v>-0.09755</v>
      </c>
      <c r="H53" s="3">
        <v>-0.105275</v>
      </c>
      <c r="I53" s="3">
        <v>6</v>
      </c>
      <c r="J53" s="3">
        <v>3</v>
      </c>
      <c r="K53" s="6">
        <v>5</v>
      </c>
      <c r="L53" s="6">
        <v>4</v>
      </c>
    </row>
    <row r="54" spans="1:12">
      <c r="A54" s="2" t="s">
        <v>62</v>
      </c>
      <c r="B54" s="3">
        <v>-0.41314</v>
      </c>
      <c r="C54" s="3">
        <v>-0.69913</v>
      </c>
      <c r="D54" s="3">
        <v>-0.29874</v>
      </c>
      <c r="E54" s="3">
        <v>7</v>
      </c>
      <c r="F54" s="3">
        <v>2</v>
      </c>
      <c r="G54" s="3">
        <v>-0.13631</v>
      </c>
      <c r="H54" s="3">
        <v>-0.783412</v>
      </c>
      <c r="I54" s="3">
        <v>6</v>
      </c>
      <c r="J54" s="3">
        <v>3</v>
      </c>
      <c r="K54" s="6">
        <v>7</v>
      </c>
      <c r="L54" s="7">
        <v>1</v>
      </c>
    </row>
    <row r="55" spans="1:12">
      <c r="A55" s="2" t="s">
        <v>67</v>
      </c>
      <c r="B55" s="3">
        <v>0.30728</v>
      </c>
      <c r="C55" s="3">
        <v>-0.50715</v>
      </c>
      <c r="D55" s="3">
        <v>0.96252</v>
      </c>
      <c r="E55" s="3">
        <v>3</v>
      </c>
      <c r="F55" s="3">
        <v>6</v>
      </c>
      <c r="G55" s="3">
        <v>-0.03922</v>
      </c>
      <c r="H55" s="3">
        <v>-0.380046</v>
      </c>
      <c r="I55" s="3">
        <v>6</v>
      </c>
      <c r="J55" s="3">
        <v>3</v>
      </c>
      <c r="K55" s="7">
        <v>6</v>
      </c>
      <c r="L55" s="6">
        <v>1</v>
      </c>
    </row>
    <row r="56" spans="1:12">
      <c r="A56" s="2" t="s">
        <v>69</v>
      </c>
      <c r="B56" s="3">
        <v>-0.09422</v>
      </c>
      <c r="C56" s="3">
        <v>-0.18067</v>
      </c>
      <c r="D56" s="3">
        <v>-0.13668</v>
      </c>
      <c r="E56" s="3">
        <v>7</v>
      </c>
      <c r="F56" s="3">
        <v>2</v>
      </c>
      <c r="G56" s="3">
        <v>0.00049</v>
      </c>
      <c r="H56" s="3">
        <v>-0.203316</v>
      </c>
      <c r="I56" s="3">
        <v>6</v>
      </c>
      <c r="J56" s="3">
        <v>3</v>
      </c>
      <c r="K56" s="6">
        <v>5</v>
      </c>
      <c r="L56" s="6">
        <v>1</v>
      </c>
    </row>
    <row r="57" spans="1:12">
      <c r="A57" s="2" t="s">
        <v>70</v>
      </c>
      <c r="B57" s="3">
        <v>0.14757</v>
      </c>
      <c r="C57" s="3">
        <v>-0.68541</v>
      </c>
      <c r="D57" s="3">
        <v>0.10511</v>
      </c>
      <c r="E57" s="3">
        <v>7</v>
      </c>
      <c r="F57" s="3">
        <v>2</v>
      </c>
      <c r="G57" s="3">
        <v>0.19858</v>
      </c>
      <c r="H57" s="3">
        <v>-0.634975</v>
      </c>
      <c r="I57" s="3">
        <v>6</v>
      </c>
      <c r="J57" s="3">
        <v>2</v>
      </c>
      <c r="K57" s="7">
        <v>6</v>
      </c>
      <c r="L57" s="7">
        <v>1</v>
      </c>
    </row>
    <row r="58" spans="1:12">
      <c r="A58" s="2" t="s">
        <v>72</v>
      </c>
      <c r="B58" s="3">
        <v>0.03072</v>
      </c>
      <c r="C58" s="3">
        <v>-0.24948</v>
      </c>
      <c r="D58" s="3">
        <v>0.39625</v>
      </c>
      <c r="E58" s="3">
        <v>3</v>
      </c>
      <c r="F58" s="3">
        <v>2</v>
      </c>
      <c r="G58" s="3">
        <v>-0.0956</v>
      </c>
      <c r="H58" s="3">
        <v>-0.21541</v>
      </c>
      <c r="I58" s="3">
        <v>6</v>
      </c>
      <c r="J58" s="3">
        <v>3</v>
      </c>
      <c r="K58" s="7">
        <v>5</v>
      </c>
      <c r="L58" s="7">
        <v>1</v>
      </c>
    </row>
    <row r="59" spans="1:12">
      <c r="A59" s="2" t="s">
        <v>78</v>
      </c>
      <c r="B59" s="3">
        <v>-0.27342</v>
      </c>
      <c r="C59" s="3">
        <v>-0.23369</v>
      </c>
      <c r="D59" s="3">
        <v>-0.82756</v>
      </c>
      <c r="E59" s="3">
        <v>7</v>
      </c>
      <c r="F59" s="3">
        <v>5</v>
      </c>
      <c r="G59" s="3">
        <v>0.13232</v>
      </c>
      <c r="H59" s="3">
        <v>-0.3302</v>
      </c>
      <c r="I59" s="3">
        <v>6</v>
      </c>
      <c r="J59" s="3">
        <v>2</v>
      </c>
      <c r="K59" s="6">
        <v>6</v>
      </c>
      <c r="L59" s="7">
        <v>4</v>
      </c>
    </row>
    <row r="60" spans="1:12">
      <c r="A60" s="2" t="s">
        <v>81</v>
      </c>
      <c r="B60" s="3">
        <v>-0.09717</v>
      </c>
      <c r="C60" s="3">
        <v>-0.08585</v>
      </c>
      <c r="D60" s="3">
        <v>-0.8596</v>
      </c>
      <c r="E60" s="3">
        <v>7</v>
      </c>
      <c r="F60" s="3">
        <v>5</v>
      </c>
      <c r="G60" s="3">
        <v>0.28007</v>
      </c>
      <c r="H60" s="3">
        <v>-0.15216</v>
      </c>
      <c r="I60" s="3">
        <v>6</v>
      </c>
      <c r="J60" s="3">
        <v>2</v>
      </c>
      <c r="K60" s="6">
        <v>6</v>
      </c>
      <c r="L60" s="6">
        <v>4</v>
      </c>
    </row>
    <row r="61" spans="1:12">
      <c r="A61" s="2" t="s">
        <v>82</v>
      </c>
      <c r="B61" s="3">
        <v>-0.07441</v>
      </c>
      <c r="C61" s="3">
        <v>0.27422</v>
      </c>
      <c r="D61" s="3">
        <v>-0.30808</v>
      </c>
      <c r="E61" s="3">
        <v>7</v>
      </c>
      <c r="F61" s="3">
        <v>2</v>
      </c>
      <c r="G61" s="3">
        <v>0.01618</v>
      </c>
      <c r="H61" s="3">
        <v>0.235878</v>
      </c>
      <c r="I61" s="3">
        <v>6</v>
      </c>
      <c r="J61" s="3">
        <v>3</v>
      </c>
      <c r="K61" s="7">
        <v>5</v>
      </c>
      <c r="L61" s="7">
        <v>1</v>
      </c>
    </row>
    <row r="62" spans="1:12">
      <c r="A62" s="2" t="s">
        <v>83</v>
      </c>
      <c r="B62" s="3">
        <v>-0.10859</v>
      </c>
      <c r="C62" s="3">
        <v>-0.24124</v>
      </c>
      <c r="D62" s="3">
        <v>-0.05072</v>
      </c>
      <c r="E62" s="3">
        <v>7</v>
      </c>
      <c r="F62" s="3">
        <v>2</v>
      </c>
      <c r="G62" s="3">
        <v>-0.03809</v>
      </c>
      <c r="H62" s="3">
        <v>-0.260563</v>
      </c>
      <c r="I62" s="3">
        <v>6</v>
      </c>
      <c r="J62" s="3">
        <v>3</v>
      </c>
      <c r="K62" s="6">
        <v>4</v>
      </c>
      <c r="L62" s="6">
        <v>1</v>
      </c>
    </row>
    <row r="63" spans="1:12">
      <c r="A63" s="2" t="s">
        <v>84</v>
      </c>
      <c r="B63" s="3">
        <v>0.45855</v>
      </c>
      <c r="C63" s="3">
        <v>-0.19263</v>
      </c>
      <c r="D63" s="3">
        <v>-0.21341</v>
      </c>
      <c r="E63" s="3">
        <v>7</v>
      </c>
      <c r="F63" s="3">
        <v>2</v>
      </c>
      <c r="G63" s="3">
        <v>0.53003</v>
      </c>
      <c r="H63" s="3">
        <v>-0.108848</v>
      </c>
      <c r="I63" s="3">
        <v>6</v>
      </c>
      <c r="J63" s="3">
        <v>2</v>
      </c>
      <c r="K63" s="7">
        <v>5</v>
      </c>
      <c r="L63" s="7">
        <v>4</v>
      </c>
    </row>
    <row r="64" spans="1:12">
      <c r="A64" s="2" t="s">
        <v>89</v>
      </c>
      <c r="B64" s="3">
        <v>-0.00232</v>
      </c>
      <c r="C64" s="3">
        <v>-0.24863</v>
      </c>
      <c r="D64" s="3">
        <v>-0.04433</v>
      </c>
      <c r="E64" s="3">
        <v>7</v>
      </c>
      <c r="F64" s="3">
        <v>2</v>
      </c>
      <c r="G64" s="3">
        <v>0.05583</v>
      </c>
      <c r="H64" s="3">
        <v>-0.246175</v>
      </c>
      <c r="I64" s="3">
        <v>6</v>
      </c>
      <c r="J64" s="3">
        <v>3</v>
      </c>
      <c r="K64" s="7">
        <v>4</v>
      </c>
      <c r="L64" s="6">
        <v>1</v>
      </c>
    </row>
    <row r="65" spans="1:12">
      <c r="A65" s="2" t="s">
        <v>94</v>
      </c>
      <c r="B65" s="3">
        <v>-0.00875</v>
      </c>
      <c r="C65" s="3">
        <v>-0.09925</v>
      </c>
      <c r="D65" s="3">
        <v>-0.54103</v>
      </c>
      <c r="E65" s="3">
        <v>7</v>
      </c>
      <c r="F65" s="3">
        <v>5</v>
      </c>
      <c r="G65" s="3">
        <v>0.23052</v>
      </c>
      <c r="H65" s="3">
        <v>-0.129518</v>
      </c>
      <c r="I65" s="3">
        <v>6</v>
      </c>
      <c r="J65" s="3">
        <v>2</v>
      </c>
      <c r="K65" s="7">
        <v>1</v>
      </c>
      <c r="L65" s="7">
        <v>7</v>
      </c>
    </row>
    <row r="66" spans="1:12">
      <c r="A66" s="2" t="s">
        <v>13</v>
      </c>
      <c r="B66" s="3">
        <v>-0.65305</v>
      </c>
      <c r="C66" s="3">
        <v>-0.34277</v>
      </c>
      <c r="D66" s="3">
        <v>0.02144</v>
      </c>
      <c r="E66" s="3">
        <v>7</v>
      </c>
      <c r="F66" s="3">
        <v>3</v>
      </c>
      <c r="G66" s="3">
        <v>-0.54017</v>
      </c>
      <c r="H66" s="3">
        <v>-0.464645</v>
      </c>
      <c r="I66" s="3">
        <v>7</v>
      </c>
      <c r="J66" s="3">
        <v>1</v>
      </c>
      <c r="K66" s="7">
        <v>4</v>
      </c>
      <c r="L66" s="6">
        <v>1</v>
      </c>
    </row>
    <row r="67" spans="1:12">
      <c r="A67" s="2" t="s">
        <v>15</v>
      </c>
      <c r="B67" s="3">
        <v>-0.20461</v>
      </c>
      <c r="C67" s="3">
        <v>-0.37725</v>
      </c>
      <c r="D67" s="3">
        <v>0.14394</v>
      </c>
      <c r="E67" s="3">
        <v>7</v>
      </c>
      <c r="F67" s="3">
        <v>2</v>
      </c>
      <c r="G67" s="3">
        <v>-0.18262</v>
      </c>
      <c r="H67" s="3">
        <v>-0.401754</v>
      </c>
      <c r="I67" s="3">
        <v>7</v>
      </c>
      <c r="J67" s="3">
        <v>3</v>
      </c>
      <c r="K67" s="6">
        <v>6</v>
      </c>
      <c r="L67" s="6">
        <v>1</v>
      </c>
    </row>
    <row r="68" spans="1:12">
      <c r="A68" s="2" t="s">
        <v>17</v>
      </c>
      <c r="B68" s="3">
        <v>-0.39753</v>
      </c>
      <c r="C68" s="3">
        <v>-0.30699</v>
      </c>
      <c r="D68" s="3">
        <v>-0.18704</v>
      </c>
      <c r="E68" s="3">
        <v>7</v>
      </c>
      <c r="F68" s="3">
        <v>2</v>
      </c>
      <c r="G68" s="3">
        <v>-0.23082</v>
      </c>
      <c r="H68" s="3">
        <v>-0.390381</v>
      </c>
      <c r="I68" s="3">
        <v>7</v>
      </c>
      <c r="J68" s="3">
        <v>3</v>
      </c>
      <c r="K68" s="7">
        <v>6</v>
      </c>
      <c r="L68" s="6">
        <v>1</v>
      </c>
    </row>
    <row r="69" spans="1:12">
      <c r="A69" s="2" t="s">
        <v>27</v>
      </c>
      <c r="B69" s="3">
        <v>-0.15351</v>
      </c>
      <c r="C69" s="3">
        <v>-0.14043</v>
      </c>
      <c r="D69" s="3">
        <v>0.78432</v>
      </c>
      <c r="E69" s="3">
        <v>3</v>
      </c>
      <c r="F69" s="3">
        <v>2</v>
      </c>
      <c r="G69" s="3">
        <v>-0.43796</v>
      </c>
      <c r="H69" s="3">
        <v>-0.123567</v>
      </c>
      <c r="I69" s="3">
        <v>7</v>
      </c>
      <c r="J69" s="3">
        <v>1</v>
      </c>
      <c r="K69" s="7">
        <v>4</v>
      </c>
      <c r="L69" s="6">
        <v>1</v>
      </c>
    </row>
    <row r="70" spans="1:12">
      <c r="A70" s="2" t="s">
        <v>37</v>
      </c>
      <c r="B70" s="3">
        <v>-0.241</v>
      </c>
      <c r="C70" s="3">
        <v>0.05328</v>
      </c>
      <c r="D70" s="3">
        <v>1.75336</v>
      </c>
      <c r="E70" s="3">
        <v>3</v>
      </c>
      <c r="F70" s="3">
        <v>6</v>
      </c>
      <c r="G70" s="3">
        <v>-0.94598</v>
      </c>
      <c r="H70" s="3">
        <v>0.103381</v>
      </c>
      <c r="I70" s="3">
        <v>7</v>
      </c>
      <c r="J70" s="3">
        <v>1</v>
      </c>
      <c r="K70" s="7">
        <v>5</v>
      </c>
      <c r="L70" s="6">
        <v>1</v>
      </c>
    </row>
    <row r="71" spans="1:12">
      <c r="A71" s="2" t="s">
        <v>47</v>
      </c>
      <c r="B71" s="3">
        <v>-0.34066</v>
      </c>
      <c r="C71" s="3">
        <v>-0.30577</v>
      </c>
      <c r="D71" s="3">
        <v>-0.30282</v>
      </c>
      <c r="E71" s="3">
        <v>7</v>
      </c>
      <c r="F71" s="3">
        <v>2</v>
      </c>
      <c r="G71" s="3">
        <v>-0.13235</v>
      </c>
      <c r="H71" s="3">
        <v>-0.384385</v>
      </c>
      <c r="I71" s="3">
        <v>7</v>
      </c>
      <c r="J71" s="3">
        <v>3</v>
      </c>
      <c r="K71" s="6">
        <v>2</v>
      </c>
      <c r="L71" s="6">
        <v>4</v>
      </c>
    </row>
    <row r="72" spans="1:12">
      <c r="A72" s="2" t="s">
        <v>49</v>
      </c>
      <c r="B72" s="3">
        <v>-0.53273</v>
      </c>
      <c r="C72" s="3">
        <v>-0.15642</v>
      </c>
      <c r="D72" s="3">
        <v>-0.3976</v>
      </c>
      <c r="E72" s="3">
        <v>7</v>
      </c>
      <c r="F72" s="3">
        <v>5</v>
      </c>
      <c r="G72" s="3">
        <v>-0.28957</v>
      </c>
      <c r="H72" s="3">
        <v>-0.28207</v>
      </c>
      <c r="I72" s="3">
        <v>7</v>
      </c>
      <c r="J72" s="3">
        <v>3</v>
      </c>
      <c r="K72" s="7">
        <v>5</v>
      </c>
      <c r="L72" s="6">
        <v>4</v>
      </c>
    </row>
    <row r="73" spans="1:12">
      <c r="A73" s="2" t="s">
        <v>53</v>
      </c>
      <c r="B73" s="3">
        <v>-0.66659</v>
      </c>
      <c r="C73" s="3">
        <v>-0.34773</v>
      </c>
      <c r="D73" s="3">
        <v>0.80203</v>
      </c>
      <c r="E73" s="3">
        <v>3</v>
      </c>
      <c r="F73" s="3">
        <v>3</v>
      </c>
      <c r="G73" s="3">
        <v>-0.8726</v>
      </c>
      <c r="H73" s="3">
        <v>-0.427925</v>
      </c>
      <c r="I73" s="3">
        <v>7</v>
      </c>
      <c r="J73" s="3">
        <v>1</v>
      </c>
      <c r="K73" s="6">
        <v>5</v>
      </c>
      <c r="L73" s="6">
        <v>1</v>
      </c>
    </row>
    <row r="74" spans="1:12">
      <c r="A74" s="2" t="s">
        <v>54</v>
      </c>
      <c r="B74" s="3">
        <v>-0.62249</v>
      </c>
      <c r="C74" s="3">
        <v>-0.22966</v>
      </c>
      <c r="D74" s="3">
        <v>-0.71502</v>
      </c>
      <c r="E74" s="3">
        <v>7</v>
      </c>
      <c r="F74" s="3">
        <v>5</v>
      </c>
      <c r="G74" s="3">
        <v>-0.22788</v>
      </c>
      <c r="H74" s="3">
        <v>-0.389662</v>
      </c>
      <c r="I74" s="3">
        <v>7</v>
      </c>
      <c r="J74" s="3">
        <v>3</v>
      </c>
      <c r="K74" s="6">
        <v>6</v>
      </c>
      <c r="L74" s="7">
        <v>7</v>
      </c>
    </row>
    <row r="75" spans="1:12">
      <c r="A75" s="2" t="s">
        <v>56</v>
      </c>
      <c r="B75" s="3">
        <v>-0.31629</v>
      </c>
      <c r="C75" s="3">
        <v>-0.28641</v>
      </c>
      <c r="D75" s="3">
        <v>-0.05003</v>
      </c>
      <c r="E75" s="3">
        <v>7</v>
      </c>
      <c r="F75" s="3">
        <v>2</v>
      </c>
      <c r="G75" s="3">
        <v>-0.21756</v>
      </c>
      <c r="H75" s="3">
        <v>-0.346233</v>
      </c>
      <c r="I75" s="3">
        <v>7</v>
      </c>
      <c r="J75" s="3">
        <v>3</v>
      </c>
      <c r="K75" s="7">
        <v>5</v>
      </c>
      <c r="L75" s="7">
        <v>1</v>
      </c>
    </row>
    <row r="76" spans="1:12">
      <c r="A76" s="2" t="s">
        <v>63</v>
      </c>
      <c r="B76" s="3">
        <v>-1.03331</v>
      </c>
      <c r="C76" s="3">
        <v>0.09727</v>
      </c>
      <c r="D76" s="3">
        <v>-0.3493</v>
      </c>
      <c r="E76" s="3">
        <v>1</v>
      </c>
      <c r="F76" s="3">
        <v>3</v>
      </c>
      <c r="G76" s="3">
        <v>-0.79915</v>
      </c>
      <c r="H76" s="3">
        <v>-0.131269</v>
      </c>
      <c r="I76" s="3">
        <v>7</v>
      </c>
      <c r="J76" s="3">
        <v>1</v>
      </c>
      <c r="K76" s="7">
        <v>4</v>
      </c>
      <c r="L76" s="6">
        <v>4</v>
      </c>
    </row>
    <row r="77" spans="1:12">
      <c r="A77" s="2" t="s">
        <v>64</v>
      </c>
      <c r="B77" s="3">
        <v>-1.0796</v>
      </c>
      <c r="C77" s="3">
        <v>0.09481</v>
      </c>
      <c r="D77" s="3">
        <v>-0.11962</v>
      </c>
      <c r="E77" s="3">
        <v>1</v>
      </c>
      <c r="F77" s="3">
        <v>3</v>
      </c>
      <c r="G77" s="3">
        <v>-0.93477</v>
      </c>
      <c r="H77" s="3">
        <v>-0.129907</v>
      </c>
      <c r="I77" s="3">
        <v>7</v>
      </c>
      <c r="J77" s="3">
        <v>1</v>
      </c>
      <c r="K77" s="6">
        <v>4</v>
      </c>
      <c r="L77" s="7">
        <v>4</v>
      </c>
    </row>
    <row r="78" spans="1:12">
      <c r="A78" s="2" t="s">
        <v>68</v>
      </c>
      <c r="B78" s="3">
        <v>-1.18911</v>
      </c>
      <c r="C78" s="3">
        <v>0.33375</v>
      </c>
      <c r="D78" s="3">
        <v>-1.17722</v>
      </c>
      <c r="E78" s="3">
        <v>7</v>
      </c>
      <c r="F78" s="3">
        <v>5</v>
      </c>
      <c r="G78" s="3">
        <v>-0.63617</v>
      </c>
      <c r="H78" s="3">
        <v>0.021934</v>
      </c>
      <c r="I78" s="3">
        <v>7</v>
      </c>
      <c r="J78" s="3">
        <v>1</v>
      </c>
      <c r="K78" s="7">
        <v>5</v>
      </c>
      <c r="L78" s="7">
        <v>4</v>
      </c>
    </row>
    <row r="79" spans="1:12">
      <c r="A79" s="2" t="s">
        <v>71</v>
      </c>
      <c r="B79" s="3">
        <v>-0.24775</v>
      </c>
      <c r="C79" s="3">
        <v>-0.23915</v>
      </c>
      <c r="D79" s="3">
        <v>-0.0675</v>
      </c>
      <c r="E79" s="3">
        <v>7</v>
      </c>
      <c r="F79" s="3">
        <v>2</v>
      </c>
      <c r="G79" s="3">
        <v>-0.15641</v>
      </c>
      <c r="H79" s="3">
        <v>-0.287295</v>
      </c>
      <c r="I79" s="3">
        <v>7</v>
      </c>
      <c r="J79" s="3">
        <v>3</v>
      </c>
      <c r="K79" s="6">
        <v>7</v>
      </c>
      <c r="L79" s="6">
        <v>1</v>
      </c>
    </row>
    <row r="80" spans="1:12">
      <c r="A80" s="2" t="s">
        <v>74</v>
      </c>
      <c r="B80" s="3">
        <v>-0.48942</v>
      </c>
      <c r="C80" s="3">
        <v>-0.35532</v>
      </c>
      <c r="D80" s="3">
        <v>-0.43689</v>
      </c>
      <c r="E80" s="3">
        <v>7</v>
      </c>
      <c r="F80" s="3">
        <v>5</v>
      </c>
      <c r="G80" s="3">
        <v>-0.20281</v>
      </c>
      <c r="H80" s="3">
        <v>-0.470196</v>
      </c>
      <c r="I80" s="3">
        <v>7</v>
      </c>
      <c r="J80" s="3">
        <v>3</v>
      </c>
      <c r="K80" s="6">
        <v>5</v>
      </c>
      <c r="L80" s="7">
        <v>1</v>
      </c>
    </row>
    <row r="81" spans="1:12">
      <c r="A81" s="2" t="s">
        <v>77</v>
      </c>
      <c r="B81" s="3">
        <v>0.07757</v>
      </c>
      <c r="C81" s="3">
        <v>-0.64396</v>
      </c>
      <c r="D81" s="3">
        <v>0.95628</v>
      </c>
      <c r="E81" s="3">
        <v>3</v>
      </c>
      <c r="F81" s="3">
        <v>6</v>
      </c>
      <c r="G81" s="3">
        <v>-0.22096</v>
      </c>
      <c r="H81" s="3">
        <v>-0.560144</v>
      </c>
      <c r="I81" s="3">
        <v>7</v>
      </c>
      <c r="J81" s="3">
        <v>3</v>
      </c>
      <c r="K81" s="7">
        <v>5</v>
      </c>
      <c r="L81" s="6">
        <v>1</v>
      </c>
    </row>
    <row r="82" spans="1:12">
      <c r="A82" s="2" t="s">
        <v>79</v>
      </c>
      <c r="B82" s="3">
        <v>-0.66834</v>
      </c>
      <c r="C82" s="3">
        <v>-0.31948</v>
      </c>
      <c r="D82" s="3">
        <v>0.16129</v>
      </c>
      <c r="E82" s="3">
        <v>7</v>
      </c>
      <c r="F82" s="3">
        <v>3</v>
      </c>
      <c r="G82" s="3">
        <v>-0.61513</v>
      </c>
      <c r="H82" s="3">
        <v>-0.436982</v>
      </c>
      <c r="I82" s="3">
        <v>7</v>
      </c>
      <c r="J82" s="3">
        <v>1</v>
      </c>
      <c r="K82" s="6">
        <v>2</v>
      </c>
      <c r="L82" s="6">
        <v>1</v>
      </c>
    </row>
    <row r="83" spans="1:12">
      <c r="A83" s="2" t="s">
        <v>80</v>
      </c>
      <c r="B83" s="3">
        <v>-0.56249</v>
      </c>
      <c r="C83" s="3">
        <v>-0.19675</v>
      </c>
      <c r="D83" s="3">
        <v>-0.48499</v>
      </c>
      <c r="E83" s="3">
        <v>7</v>
      </c>
      <c r="F83" s="3">
        <v>5</v>
      </c>
      <c r="G83" s="3">
        <v>-0.27389</v>
      </c>
      <c r="H83" s="3">
        <v>-0.33243</v>
      </c>
      <c r="I83" s="3">
        <v>7</v>
      </c>
      <c r="J83" s="3">
        <v>3</v>
      </c>
      <c r="K83" s="7">
        <v>5</v>
      </c>
      <c r="L83" s="7">
        <v>4</v>
      </c>
    </row>
    <row r="84" spans="1:12">
      <c r="A84" s="2" t="s">
        <v>85</v>
      </c>
      <c r="B84" s="3">
        <v>-0.48369</v>
      </c>
      <c r="C84" s="3">
        <v>0.1457</v>
      </c>
      <c r="D84" s="3">
        <v>0.0398</v>
      </c>
      <c r="E84" s="3">
        <v>7</v>
      </c>
      <c r="F84" s="3">
        <v>2</v>
      </c>
      <c r="G84" s="3">
        <v>-0.47369</v>
      </c>
      <c r="H84" s="3">
        <v>0.048068</v>
      </c>
      <c r="I84" s="3">
        <v>7</v>
      </c>
      <c r="J84" s="3">
        <v>1</v>
      </c>
      <c r="K84" s="7">
        <v>5</v>
      </c>
      <c r="L84" s="6">
        <v>1</v>
      </c>
    </row>
    <row r="85" spans="1:12">
      <c r="A85" s="2" t="s">
        <v>86</v>
      </c>
      <c r="B85" s="3">
        <v>-0.51137</v>
      </c>
      <c r="C85" s="3">
        <v>-0.25099</v>
      </c>
      <c r="D85" s="3">
        <v>-0.16491</v>
      </c>
      <c r="E85" s="3">
        <v>7</v>
      </c>
      <c r="F85" s="3">
        <v>2</v>
      </c>
      <c r="G85" s="3">
        <v>-0.35102</v>
      </c>
      <c r="H85" s="3">
        <v>-0.357106</v>
      </c>
      <c r="I85" s="3">
        <v>7</v>
      </c>
      <c r="J85" s="3">
        <v>3</v>
      </c>
      <c r="K85" s="6">
        <v>2</v>
      </c>
      <c r="L85" s="7">
        <v>1</v>
      </c>
    </row>
    <row r="86" spans="1:12">
      <c r="A86" s="2" t="s">
        <v>91</v>
      </c>
      <c r="B86" s="3">
        <v>-0.91841</v>
      </c>
      <c r="C86" s="3">
        <v>0.22403</v>
      </c>
      <c r="D86" s="3">
        <v>-0.38543</v>
      </c>
      <c r="E86" s="3">
        <v>1</v>
      </c>
      <c r="F86" s="3">
        <v>3</v>
      </c>
      <c r="G86" s="3">
        <v>-0.70141</v>
      </c>
      <c r="H86" s="3">
        <v>0.013646</v>
      </c>
      <c r="I86" s="3">
        <v>7</v>
      </c>
      <c r="J86" s="3">
        <v>1</v>
      </c>
      <c r="K86" s="6">
        <v>2</v>
      </c>
      <c r="L86" s="6">
        <v>4</v>
      </c>
    </row>
    <row r="89" spans="2:23">
      <c r="B89" s="8">
        <v>-0.54017</v>
      </c>
      <c r="C89" s="8">
        <v>-0.464645</v>
      </c>
      <c r="D89" s="9">
        <v>1</v>
      </c>
      <c r="M89" s="8">
        <v>-0.54017</v>
      </c>
      <c r="N89" s="8">
        <v>-0.464645</v>
      </c>
      <c r="O89">
        <v>1</v>
      </c>
      <c r="Q89" s="8">
        <v>0.08138</v>
      </c>
      <c r="R89" s="8">
        <v>-0.148364</v>
      </c>
      <c r="S89">
        <v>1</v>
      </c>
      <c r="U89" s="8">
        <v>1</v>
      </c>
      <c r="V89" s="8">
        <v>-4.14634</v>
      </c>
      <c r="W89" s="8">
        <v>0.446484</v>
      </c>
    </row>
    <row r="90" spans="2:23">
      <c r="B90" s="8">
        <v>-0.43796</v>
      </c>
      <c r="C90" s="8">
        <v>-0.123567</v>
      </c>
      <c r="D90" s="9">
        <v>1</v>
      </c>
      <c r="M90" s="8">
        <v>-0.18262</v>
      </c>
      <c r="N90" s="8">
        <v>-0.401754</v>
      </c>
      <c r="O90">
        <v>1</v>
      </c>
      <c r="Q90" s="8">
        <v>0.32624</v>
      </c>
      <c r="R90" s="8">
        <v>-0.461201</v>
      </c>
      <c r="S90">
        <v>1</v>
      </c>
      <c r="U90" s="8">
        <v>2</v>
      </c>
      <c r="V90" s="8">
        <v>1.33685</v>
      </c>
      <c r="W90" s="8">
        <v>-0.48409</v>
      </c>
    </row>
    <row r="91" spans="2:23">
      <c r="B91" s="8">
        <v>-0.94598</v>
      </c>
      <c r="C91" s="8">
        <v>0.103381</v>
      </c>
      <c r="D91" s="9">
        <v>1</v>
      </c>
      <c r="M91" s="8">
        <v>-0.23082</v>
      </c>
      <c r="N91" s="8">
        <v>-0.390381</v>
      </c>
      <c r="O91">
        <v>1</v>
      </c>
      <c r="Q91" s="8">
        <v>-2.00542</v>
      </c>
      <c r="R91" s="8">
        <v>-0.668617</v>
      </c>
      <c r="S91">
        <v>1</v>
      </c>
      <c r="U91" s="8">
        <v>2</v>
      </c>
      <c r="V91" s="8">
        <v>1.08163</v>
      </c>
      <c r="W91" s="8">
        <v>-0.595066</v>
      </c>
    </row>
    <row r="92" spans="2:23">
      <c r="B92" s="8">
        <v>-0.8726</v>
      </c>
      <c r="C92" s="8">
        <v>-0.427925</v>
      </c>
      <c r="D92" s="9">
        <v>1</v>
      </c>
      <c r="M92" s="8">
        <v>0.82193</v>
      </c>
      <c r="N92" s="8">
        <v>-0.749761</v>
      </c>
      <c r="O92">
        <v>1</v>
      </c>
      <c r="Q92" s="8">
        <v>0.23052</v>
      </c>
      <c r="R92" s="8">
        <v>-0.129518</v>
      </c>
      <c r="S92">
        <v>1</v>
      </c>
      <c r="U92" s="8">
        <v>2</v>
      </c>
      <c r="V92" s="8">
        <v>0.85027</v>
      </c>
      <c r="W92" s="8">
        <v>-0.308452</v>
      </c>
    </row>
    <row r="93" spans="2:23">
      <c r="B93" s="8">
        <v>-0.79915</v>
      </c>
      <c r="C93" s="8">
        <v>-0.131269</v>
      </c>
      <c r="D93" s="9">
        <v>1</v>
      </c>
      <c r="M93" s="8">
        <v>-0.43796</v>
      </c>
      <c r="N93" s="8">
        <v>-0.123567</v>
      </c>
      <c r="O93">
        <v>1</v>
      </c>
      <c r="Q93" s="8">
        <v>0.48777</v>
      </c>
      <c r="R93" s="8">
        <v>-0.490705</v>
      </c>
      <c r="S93">
        <v>2</v>
      </c>
      <c r="U93" s="8">
        <v>2</v>
      </c>
      <c r="V93" s="8">
        <v>0.82193</v>
      </c>
      <c r="W93" s="8">
        <v>-0.749761</v>
      </c>
    </row>
    <row r="94" spans="2:23">
      <c r="B94" s="8">
        <v>-0.93477</v>
      </c>
      <c r="C94" s="8">
        <v>-0.129907</v>
      </c>
      <c r="D94" s="9">
        <v>1</v>
      </c>
      <c r="M94" s="8">
        <v>0.74531</v>
      </c>
      <c r="N94" s="8">
        <v>-0.989523</v>
      </c>
      <c r="O94">
        <v>1</v>
      </c>
      <c r="Q94" s="8">
        <v>-0.61513</v>
      </c>
      <c r="R94" s="8">
        <v>-0.436982</v>
      </c>
      <c r="S94">
        <v>2</v>
      </c>
      <c r="U94" s="8">
        <v>2</v>
      </c>
      <c r="V94" s="8">
        <v>0.74531</v>
      </c>
      <c r="W94" s="8">
        <v>-0.989523</v>
      </c>
    </row>
    <row r="95" spans="2:23">
      <c r="B95" s="8">
        <v>-0.63617</v>
      </c>
      <c r="C95" s="8">
        <v>0.021934</v>
      </c>
      <c r="D95" s="9">
        <v>1</v>
      </c>
      <c r="M95" s="8">
        <v>0.38147</v>
      </c>
      <c r="N95" s="8">
        <v>-0.053682</v>
      </c>
      <c r="O95">
        <v>1</v>
      </c>
      <c r="Q95" s="8">
        <v>-0.35102</v>
      </c>
      <c r="R95" s="8">
        <v>-0.357106</v>
      </c>
      <c r="S95">
        <v>2</v>
      </c>
      <c r="U95" s="8">
        <v>2</v>
      </c>
      <c r="V95" s="8">
        <v>1.28913</v>
      </c>
      <c r="W95" s="8">
        <v>-0.60835</v>
      </c>
    </row>
    <row r="96" spans="2:23">
      <c r="B96" s="8">
        <v>-0.61513</v>
      </c>
      <c r="C96" s="8">
        <v>-0.436982</v>
      </c>
      <c r="D96" s="9">
        <v>1</v>
      </c>
      <c r="M96" s="8">
        <v>0.00769</v>
      </c>
      <c r="N96" s="8">
        <v>-0.621859</v>
      </c>
      <c r="O96">
        <v>1</v>
      </c>
      <c r="Q96" s="8">
        <v>0.51357</v>
      </c>
      <c r="R96" s="8">
        <v>0.972977</v>
      </c>
      <c r="S96">
        <v>2</v>
      </c>
      <c r="U96" s="8">
        <v>2</v>
      </c>
      <c r="V96" s="8">
        <v>1.77904</v>
      </c>
      <c r="W96" s="8">
        <v>-0.453325</v>
      </c>
    </row>
    <row r="97" spans="2:23">
      <c r="B97" s="8">
        <v>-0.47369</v>
      </c>
      <c r="C97" s="8">
        <v>0.048068</v>
      </c>
      <c r="D97" s="9">
        <v>1</v>
      </c>
      <c r="M97" s="8">
        <v>-0.94598</v>
      </c>
      <c r="N97" s="8">
        <v>0.103381</v>
      </c>
      <c r="O97">
        <v>1</v>
      </c>
      <c r="Q97" s="8">
        <v>-0.13235</v>
      </c>
      <c r="R97" s="8">
        <v>-0.384385</v>
      </c>
      <c r="S97">
        <v>2</v>
      </c>
      <c r="U97" s="8">
        <v>2</v>
      </c>
      <c r="V97" s="8">
        <v>0.72626</v>
      </c>
      <c r="W97" s="8">
        <v>-0.249903</v>
      </c>
    </row>
    <row r="98" spans="2:23">
      <c r="B98" s="8">
        <v>-0.70141</v>
      </c>
      <c r="C98" s="8">
        <v>0.013646</v>
      </c>
      <c r="D98" s="9">
        <v>1</v>
      </c>
      <c r="M98" s="8">
        <v>0.2823</v>
      </c>
      <c r="N98" s="8">
        <v>-0.289623</v>
      </c>
      <c r="O98">
        <v>1</v>
      </c>
      <c r="Q98" s="8">
        <v>-0.70141</v>
      </c>
      <c r="R98" s="8">
        <v>0.013646</v>
      </c>
      <c r="S98">
        <v>2</v>
      </c>
      <c r="U98" s="8">
        <v>2</v>
      </c>
      <c r="V98" s="8">
        <v>1.08929</v>
      </c>
      <c r="W98" s="8">
        <v>-0.000556</v>
      </c>
    </row>
    <row r="99" spans="2:23">
      <c r="B99" s="8">
        <v>0.21056</v>
      </c>
      <c r="C99" s="8">
        <v>-0.313787</v>
      </c>
      <c r="D99" s="9">
        <v>2</v>
      </c>
      <c r="M99" s="8">
        <v>0.48777</v>
      </c>
      <c r="N99" s="8">
        <v>-0.490705</v>
      </c>
      <c r="O99">
        <v>1</v>
      </c>
      <c r="Q99" s="8">
        <v>-0.26208</v>
      </c>
      <c r="R99" s="8">
        <v>0.226123</v>
      </c>
      <c r="S99">
        <v>3</v>
      </c>
      <c r="U99" s="8">
        <v>3</v>
      </c>
      <c r="V99" s="8">
        <v>-1.33841</v>
      </c>
      <c r="W99" s="8">
        <v>-0.864968</v>
      </c>
    </row>
    <row r="100" spans="2:23">
      <c r="B100" s="8">
        <v>0.18992</v>
      </c>
      <c r="C100" s="8">
        <v>-0.253995</v>
      </c>
      <c r="D100" s="9">
        <v>2</v>
      </c>
      <c r="M100" s="8">
        <v>0.08138</v>
      </c>
      <c r="N100" s="8">
        <v>-0.148364</v>
      </c>
      <c r="O100">
        <v>1</v>
      </c>
      <c r="Q100" s="8">
        <v>0.31329</v>
      </c>
      <c r="R100" s="8">
        <v>-0.492457</v>
      </c>
      <c r="S100">
        <v>3</v>
      </c>
      <c r="U100" s="8">
        <v>3</v>
      </c>
      <c r="V100" s="8">
        <v>-1.55584</v>
      </c>
      <c r="W100" s="8">
        <v>-0.26616</v>
      </c>
    </row>
    <row r="101" spans="2:23">
      <c r="B101" s="8">
        <v>0.26632</v>
      </c>
      <c r="C101" s="8">
        <v>-0.61545</v>
      </c>
      <c r="D101" s="9">
        <v>2</v>
      </c>
      <c r="M101" s="8">
        <v>0.32624</v>
      </c>
      <c r="N101" s="8">
        <v>-0.461201</v>
      </c>
      <c r="O101">
        <v>1</v>
      </c>
      <c r="Q101" s="8">
        <v>-0.54017</v>
      </c>
      <c r="R101" s="8">
        <v>-0.464645</v>
      </c>
      <c r="S101">
        <v>4</v>
      </c>
      <c r="U101" s="8">
        <v>3</v>
      </c>
      <c r="V101" s="8">
        <v>-2.00542</v>
      </c>
      <c r="W101" s="8">
        <v>-0.668617</v>
      </c>
    </row>
    <row r="102" spans="2:23">
      <c r="B102" s="8">
        <v>0.38446</v>
      </c>
      <c r="C102" s="8">
        <v>-0.544774</v>
      </c>
      <c r="D102" s="9">
        <v>2</v>
      </c>
      <c r="M102" s="8">
        <v>-0.8726</v>
      </c>
      <c r="N102" s="8">
        <v>-0.427925</v>
      </c>
      <c r="O102">
        <v>1</v>
      </c>
      <c r="Q102" s="8">
        <v>-0.43796</v>
      </c>
      <c r="R102" s="8">
        <v>-0.123567</v>
      </c>
      <c r="S102">
        <v>4</v>
      </c>
      <c r="U102" s="8">
        <v>3</v>
      </c>
      <c r="V102" s="8">
        <v>-1.35277</v>
      </c>
      <c r="W102" s="8">
        <v>-0.153724</v>
      </c>
    </row>
    <row r="103" spans="2:23">
      <c r="B103" s="8">
        <v>0.30368</v>
      </c>
      <c r="C103" s="8">
        <v>-0.067684</v>
      </c>
      <c r="D103" s="9">
        <v>2</v>
      </c>
      <c r="M103" s="8">
        <v>-0.21756</v>
      </c>
      <c r="N103" s="8">
        <v>-0.346233</v>
      </c>
      <c r="O103">
        <v>1</v>
      </c>
      <c r="Q103" s="8">
        <v>0.74531</v>
      </c>
      <c r="R103" s="8">
        <v>-0.989523</v>
      </c>
      <c r="S103">
        <v>4</v>
      </c>
      <c r="U103" s="8">
        <v>3</v>
      </c>
      <c r="V103" s="8">
        <v>-1.45602</v>
      </c>
      <c r="W103" s="8">
        <v>-0.13223</v>
      </c>
    </row>
    <row r="104" spans="2:23">
      <c r="B104" s="8">
        <v>0.14959</v>
      </c>
      <c r="C104" s="8">
        <v>-0.146907</v>
      </c>
      <c r="D104" s="9">
        <v>2</v>
      </c>
      <c r="M104" s="8">
        <v>-0.13631</v>
      </c>
      <c r="N104" s="8">
        <v>-0.783412</v>
      </c>
      <c r="O104">
        <v>1</v>
      </c>
      <c r="Q104" s="8">
        <v>0.2823</v>
      </c>
      <c r="R104" s="8">
        <v>-0.289623</v>
      </c>
      <c r="S104">
        <v>4</v>
      </c>
      <c r="U104" s="8">
        <v>3</v>
      </c>
      <c r="V104" s="8">
        <v>-2.3431</v>
      </c>
      <c r="W104" s="8">
        <v>-0.161402</v>
      </c>
    </row>
    <row r="105" spans="2:23">
      <c r="B105" s="8">
        <v>0.31282</v>
      </c>
      <c r="C105" s="8">
        <v>-0.34233</v>
      </c>
      <c r="D105" s="9">
        <v>2</v>
      </c>
      <c r="M105" s="8">
        <v>-0.03922</v>
      </c>
      <c r="N105" s="8">
        <v>-0.380046</v>
      </c>
      <c r="O105">
        <v>1</v>
      </c>
      <c r="Q105" s="8">
        <v>-0.03809</v>
      </c>
      <c r="R105" s="8">
        <v>-0.260563</v>
      </c>
      <c r="S105">
        <v>4</v>
      </c>
      <c r="U105" s="8">
        <v>4</v>
      </c>
      <c r="V105" s="8">
        <v>-0.75208</v>
      </c>
      <c r="W105" s="8">
        <v>4.058255</v>
      </c>
    </row>
    <row r="106" spans="2:23">
      <c r="B106" s="8">
        <v>0.38147</v>
      </c>
      <c r="C106" s="8">
        <v>-0.053682</v>
      </c>
      <c r="D106" s="9">
        <v>2</v>
      </c>
      <c r="M106" s="8">
        <v>0.00049</v>
      </c>
      <c r="N106" s="8">
        <v>-0.203316</v>
      </c>
      <c r="O106">
        <v>1</v>
      </c>
      <c r="Q106" s="8">
        <v>0.05583</v>
      </c>
      <c r="R106" s="8">
        <v>-0.246175</v>
      </c>
      <c r="S106">
        <v>4</v>
      </c>
      <c r="U106" s="8">
        <v>4</v>
      </c>
      <c r="V106" s="8">
        <v>0.69666</v>
      </c>
      <c r="W106" s="8">
        <v>4.260723</v>
      </c>
    </row>
    <row r="107" spans="2:23">
      <c r="B107" s="8">
        <v>0.2823</v>
      </c>
      <c r="C107" s="8">
        <v>-0.289623</v>
      </c>
      <c r="D107" s="9">
        <v>2</v>
      </c>
      <c r="M107" s="8">
        <v>0.19858</v>
      </c>
      <c r="N107" s="8">
        <v>-0.634975</v>
      </c>
      <c r="O107">
        <v>1</v>
      </c>
      <c r="Q107" s="8">
        <v>0.30368</v>
      </c>
      <c r="R107" s="8">
        <v>-0.067684</v>
      </c>
      <c r="S107">
        <v>4</v>
      </c>
      <c r="U107" s="8">
        <v>5</v>
      </c>
      <c r="V107" s="8">
        <v>0.51357</v>
      </c>
      <c r="W107" s="8">
        <v>0.972977</v>
      </c>
    </row>
    <row r="108" spans="2:23">
      <c r="B108" s="8">
        <v>0.28205</v>
      </c>
      <c r="C108" s="8">
        <v>-0.217957</v>
      </c>
      <c r="D108" s="9">
        <v>2</v>
      </c>
      <c r="M108" s="8">
        <v>-0.15641</v>
      </c>
      <c r="N108" s="8">
        <v>-0.287295</v>
      </c>
      <c r="O108">
        <v>1</v>
      </c>
      <c r="Q108" s="8">
        <v>-0.08206</v>
      </c>
      <c r="R108" s="8">
        <v>-0.054138</v>
      </c>
      <c r="S108">
        <v>4</v>
      </c>
      <c r="U108" s="8">
        <v>5</v>
      </c>
      <c r="V108" s="8">
        <v>1.98565</v>
      </c>
      <c r="W108" s="8">
        <v>1.390577</v>
      </c>
    </row>
    <row r="109" spans="2:23">
      <c r="B109" s="8">
        <v>0.13868</v>
      </c>
      <c r="C109" s="8">
        <v>-0.134001</v>
      </c>
      <c r="D109" s="9">
        <v>2</v>
      </c>
      <c r="M109" s="8">
        <v>-0.0956</v>
      </c>
      <c r="N109" s="8">
        <v>-0.21541</v>
      </c>
      <c r="O109">
        <v>1</v>
      </c>
      <c r="Q109" s="8">
        <v>0.07437</v>
      </c>
      <c r="R109" s="8">
        <v>1.254434</v>
      </c>
      <c r="S109">
        <v>4</v>
      </c>
      <c r="U109" s="8">
        <v>5</v>
      </c>
      <c r="V109" s="8">
        <v>1.1889</v>
      </c>
      <c r="W109" s="8">
        <v>1.88728</v>
      </c>
    </row>
    <row r="110" spans="2:23">
      <c r="B110" s="8">
        <v>0.48777</v>
      </c>
      <c r="C110" s="8">
        <v>-0.490705</v>
      </c>
      <c r="D110" s="9">
        <v>2</v>
      </c>
      <c r="M110" s="8">
        <v>-0.20281</v>
      </c>
      <c r="N110" s="8">
        <v>-0.470196</v>
      </c>
      <c r="O110">
        <v>1</v>
      </c>
      <c r="Q110" s="8">
        <v>-4.14634</v>
      </c>
      <c r="R110" s="8">
        <v>0.446484</v>
      </c>
      <c r="S110">
        <v>4</v>
      </c>
      <c r="U110" s="8">
        <v>5</v>
      </c>
      <c r="V110" s="8">
        <v>1.08157</v>
      </c>
      <c r="W110" s="8">
        <v>1.009081</v>
      </c>
    </row>
    <row r="111" spans="2:23">
      <c r="B111" s="8">
        <v>0.31329</v>
      </c>
      <c r="C111" s="8">
        <v>-0.492457</v>
      </c>
      <c r="D111" s="9">
        <v>2</v>
      </c>
      <c r="M111" s="8">
        <v>-0.22096</v>
      </c>
      <c r="N111" s="8">
        <v>-0.560144</v>
      </c>
      <c r="O111">
        <v>1</v>
      </c>
      <c r="Q111" s="8">
        <v>0.31282</v>
      </c>
      <c r="R111" s="8">
        <v>-0.34233</v>
      </c>
      <c r="S111">
        <v>4</v>
      </c>
      <c r="U111" s="8">
        <v>5</v>
      </c>
      <c r="V111" s="8">
        <v>0.88065</v>
      </c>
      <c r="W111" s="8">
        <v>0.979964</v>
      </c>
    </row>
    <row r="112" spans="2:23">
      <c r="B112" s="8">
        <v>0.32624</v>
      </c>
      <c r="C112" s="8">
        <v>-0.461201</v>
      </c>
      <c r="D112" s="9">
        <v>2</v>
      </c>
      <c r="M112" s="8">
        <v>-0.61513</v>
      </c>
      <c r="N112" s="8">
        <v>-0.436982</v>
      </c>
      <c r="O112">
        <v>1</v>
      </c>
      <c r="Q112" s="8">
        <v>-0.22172</v>
      </c>
      <c r="R112" s="8">
        <v>0.006699</v>
      </c>
      <c r="S112">
        <v>4</v>
      </c>
      <c r="U112" s="8">
        <v>5</v>
      </c>
      <c r="V112" s="8">
        <v>0.07437</v>
      </c>
      <c r="W112" s="8">
        <v>1.254434</v>
      </c>
    </row>
    <row r="113" spans="2:23">
      <c r="B113" s="8">
        <v>0.19858</v>
      </c>
      <c r="C113" s="8">
        <v>-0.634975</v>
      </c>
      <c r="D113" s="9">
        <v>2</v>
      </c>
      <c r="M113" s="8">
        <v>0.01618</v>
      </c>
      <c r="N113" s="8">
        <v>0.235878</v>
      </c>
      <c r="O113">
        <v>1</v>
      </c>
      <c r="Q113" s="8">
        <v>-0.79915</v>
      </c>
      <c r="R113" s="8">
        <v>-0.131269</v>
      </c>
      <c r="S113">
        <v>4</v>
      </c>
      <c r="U113" s="8">
        <v>5</v>
      </c>
      <c r="V113" s="8">
        <v>0.16071</v>
      </c>
      <c r="W113" s="8">
        <v>1.327507</v>
      </c>
    </row>
    <row r="114" spans="2:23">
      <c r="B114" s="8">
        <v>0.72626</v>
      </c>
      <c r="C114" s="8">
        <v>-0.249903</v>
      </c>
      <c r="D114" s="9">
        <v>2</v>
      </c>
      <c r="M114" s="8">
        <v>-0.03809</v>
      </c>
      <c r="N114" s="8">
        <v>-0.260563</v>
      </c>
      <c r="O114">
        <v>1</v>
      </c>
      <c r="Q114" s="8">
        <v>-0.93477</v>
      </c>
      <c r="R114" s="8">
        <v>-0.129907</v>
      </c>
      <c r="S114">
        <v>4</v>
      </c>
      <c r="U114" s="8">
        <v>5</v>
      </c>
      <c r="V114" s="8">
        <v>1.87772</v>
      </c>
      <c r="W114" s="8">
        <v>0.53997</v>
      </c>
    </row>
    <row r="115" spans="2:23">
      <c r="B115" s="8">
        <v>0.13232</v>
      </c>
      <c r="C115" s="8">
        <v>-0.3302</v>
      </c>
      <c r="D115" s="9">
        <v>2</v>
      </c>
      <c r="M115" s="8">
        <v>-0.47369</v>
      </c>
      <c r="N115" s="8">
        <v>0.048068</v>
      </c>
      <c r="O115">
        <v>1</v>
      </c>
      <c r="Q115" s="8">
        <v>-0.75208</v>
      </c>
      <c r="R115" s="8">
        <v>4.058255</v>
      </c>
      <c r="S115">
        <v>4</v>
      </c>
      <c r="U115" s="8">
        <v>5</v>
      </c>
      <c r="V115" s="8">
        <v>0.48141</v>
      </c>
      <c r="W115" s="8">
        <v>1.644753</v>
      </c>
    </row>
    <row r="116" spans="2:23">
      <c r="B116" s="8">
        <v>0.28007</v>
      </c>
      <c r="C116" s="8">
        <v>-0.15216</v>
      </c>
      <c r="D116" s="9">
        <v>2</v>
      </c>
      <c r="M116" s="8">
        <v>-0.35102</v>
      </c>
      <c r="N116" s="8">
        <v>-0.357106</v>
      </c>
      <c r="O116">
        <v>1</v>
      </c>
      <c r="Q116" s="8">
        <v>1.08163</v>
      </c>
      <c r="R116" s="8">
        <v>-0.595066</v>
      </c>
      <c r="S116">
        <v>4</v>
      </c>
      <c r="U116" s="8">
        <v>5</v>
      </c>
      <c r="V116" s="8">
        <v>1.12926</v>
      </c>
      <c r="W116" s="8">
        <v>1.690975</v>
      </c>
    </row>
    <row r="117" spans="2:23">
      <c r="B117" s="8">
        <v>0.53003</v>
      </c>
      <c r="C117" s="8">
        <v>-0.108848</v>
      </c>
      <c r="D117" s="9">
        <v>2</v>
      </c>
      <c r="M117" s="8">
        <v>0.05583</v>
      </c>
      <c r="N117" s="8">
        <v>-0.246175</v>
      </c>
      <c r="O117">
        <v>1</v>
      </c>
      <c r="Q117" s="8">
        <v>1.98565</v>
      </c>
      <c r="R117" s="8">
        <v>1.390577</v>
      </c>
      <c r="S117">
        <v>4</v>
      </c>
      <c r="U117" s="8">
        <v>6</v>
      </c>
      <c r="V117" s="8">
        <v>0.21056</v>
      </c>
      <c r="W117" s="8">
        <v>-0.313787</v>
      </c>
    </row>
    <row r="118" spans="2:23">
      <c r="B118" s="8">
        <v>0.23052</v>
      </c>
      <c r="C118" s="8">
        <v>-0.129518</v>
      </c>
      <c r="D118" s="9">
        <v>2</v>
      </c>
      <c r="M118" s="8">
        <v>0.21056</v>
      </c>
      <c r="N118" s="8">
        <v>-0.313787</v>
      </c>
      <c r="O118">
        <v>2</v>
      </c>
      <c r="Q118" s="8">
        <v>1.28913</v>
      </c>
      <c r="R118" s="8">
        <v>-0.60835</v>
      </c>
      <c r="S118">
        <v>4</v>
      </c>
      <c r="U118" s="8">
        <v>6</v>
      </c>
      <c r="V118" s="8">
        <v>0.18992</v>
      </c>
      <c r="W118" s="8">
        <v>-0.253995</v>
      </c>
    </row>
    <row r="119" spans="2:23">
      <c r="B119" s="8">
        <v>-0.18262</v>
      </c>
      <c r="C119" s="8">
        <v>-0.401754</v>
      </c>
      <c r="D119" s="9">
        <v>3</v>
      </c>
      <c r="M119" s="8">
        <v>0.51357</v>
      </c>
      <c r="N119" s="8">
        <v>0.972977</v>
      </c>
      <c r="O119">
        <v>2</v>
      </c>
      <c r="Q119" s="8">
        <v>1.77904</v>
      </c>
      <c r="R119" s="8">
        <v>-0.453325</v>
      </c>
      <c r="S119">
        <v>4</v>
      </c>
      <c r="U119" s="8">
        <v>6</v>
      </c>
      <c r="V119" s="8">
        <v>-0.03034</v>
      </c>
      <c r="W119" s="8">
        <v>-0.056678</v>
      </c>
    </row>
    <row r="120" spans="2:23">
      <c r="B120" s="8">
        <v>-0.03034</v>
      </c>
      <c r="C120" s="8">
        <v>-0.056678</v>
      </c>
      <c r="D120" s="9">
        <v>3</v>
      </c>
      <c r="M120" s="8">
        <v>-0.03034</v>
      </c>
      <c r="N120" s="8">
        <v>-0.056678</v>
      </c>
      <c r="O120">
        <v>2</v>
      </c>
      <c r="Q120" s="8">
        <v>0.38446</v>
      </c>
      <c r="R120" s="8">
        <v>-0.544774</v>
      </c>
      <c r="S120">
        <v>4</v>
      </c>
      <c r="U120" s="8">
        <v>6</v>
      </c>
      <c r="V120" s="8">
        <v>-0.26208</v>
      </c>
      <c r="W120" s="8">
        <v>0.226123</v>
      </c>
    </row>
    <row r="121" spans="2:23">
      <c r="B121" s="8">
        <v>-0.23082</v>
      </c>
      <c r="C121" s="8">
        <v>-0.390381</v>
      </c>
      <c r="D121" s="9">
        <v>3</v>
      </c>
      <c r="M121" s="8">
        <v>-0.26208</v>
      </c>
      <c r="N121" s="8">
        <v>0.226123</v>
      </c>
      <c r="O121">
        <v>2</v>
      </c>
      <c r="Q121" s="8">
        <v>0.82193</v>
      </c>
      <c r="R121" s="8">
        <v>-0.749761</v>
      </c>
      <c r="S121">
        <v>5</v>
      </c>
      <c r="U121" s="8">
        <v>6</v>
      </c>
      <c r="V121" s="8">
        <v>0.26632</v>
      </c>
      <c r="W121" s="8">
        <v>-0.61545</v>
      </c>
    </row>
    <row r="122" spans="2:23">
      <c r="B122" s="8">
        <v>-0.26208</v>
      </c>
      <c r="C122" s="8">
        <v>0.226123</v>
      </c>
      <c r="D122" s="9">
        <v>3</v>
      </c>
      <c r="M122" s="8">
        <v>0.07074</v>
      </c>
      <c r="N122" s="8">
        <v>-0.253199</v>
      </c>
      <c r="O122">
        <v>2</v>
      </c>
      <c r="Q122" s="8">
        <v>0.38147</v>
      </c>
      <c r="R122" s="8">
        <v>-0.053682</v>
      </c>
      <c r="S122">
        <v>5</v>
      </c>
      <c r="U122" s="8">
        <v>6</v>
      </c>
      <c r="V122" s="8">
        <v>0.38446</v>
      </c>
      <c r="W122" s="8">
        <v>-0.544774</v>
      </c>
    </row>
    <row r="123" spans="2:23">
      <c r="B123" s="8">
        <v>0.07074</v>
      </c>
      <c r="C123" s="8">
        <v>-0.253199</v>
      </c>
      <c r="D123" s="9">
        <v>3</v>
      </c>
      <c r="M123" s="8">
        <v>0.30368</v>
      </c>
      <c r="N123" s="8">
        <v>-0.067684</v>
      </c>
      <c r="O123">
        <v>2</v>
      </c>
      <c r="Q123" s="8">
        <v>0.00769</v>
      </c>
      <c r="R123" s="8">
        <v>-0.621859</v>
      </c>
      <c r="S123">
        <v>5</v>
      </c>
      <c r="U123" s="8">
        <v>6</v>
      </c>
      <c r="V123" s="8">
        <v>0.07074</v>
      </c>
      <c r="W123" s="8">
        <v>-0.253199</v>
      </c>
    </row>
    <row r="124" spans="2:23">
      <c r="B124" s="8">
        <v>-0.0657</v>
      </c>
      <c r="C124" s="8">
        <v>-0.036003</v>
      </c>
      <c r="D124" s="9">
        <v>3</v>
      </c>
      <c r="M124" s="8">
        <v>-0.0657</v>
      </c>
      <c r="N124" s="8">
        <v>-0.036003</v>
      </c>
      <c r="O124">
        <v>2</v>
      </c>
      <c r="Q124" s="8">
        <v>-0.94598</v>
      </c>
      <c r="R124" s="8">
        <v>0.103381</v>
      </c>
      <c r="S124">
        <v>5</v>
      </c>
      <c r="U124" s="8">
        <v>6</v>
      </c>
      <c r="V124" s="8">
        <v>0.30368</v>
      </c>
      <c r="W124" s="8">
        <v>-0.067684</v>
      </c>
    </row>
    <row r="125" spans="2:23">
      <c r="B125" s="8">
        <v>-0.22172</v>
      </c>
      <c r="C125" s="8">
        <v>0.006699</v>
      </c>
      <c r="D125" s="9">
        <v>3</v>
      </c>
      <c r="M125" s="8">
        <v>0.28205</v>
      </c>
      <c r="N125" s="8">
        <v>-0.217957</v>
      </c>
      <c r="O125">
        <v>2</v>
      </c>
      <c r="Q125" s="8">
        <v>-0.8726</v>
      </c>
      <c r="R125" s="8">
        <v>-0.427925</v>
      </c>
      <c r="S125">
        <v>5</v>
      </c>
      <c r="U125" s="8">
        <v>6</v>
      </c>
      <c r="V125" s="8">
        <v>0.14959</v>
      </c>
      <c r="W125" s="8">
        <v>-0.146907</v>
      </c>
    </row>
    <row r="126" spans="2:23">
      <c r="B126" s="8">
        <v>0.00769</v>
      </c>
      <c r="C126" s="8">
        <v>-0.621859</v>
      </c>
      <c r="D126" s="9">
        <v>3</v>
      </c>
      <c r="M126" s="8">
        <v>-0.08206</v>
      </c>
      <c r="N126" s="8">
        <v>-0.054138</v>
      </c>
      <c r="O126">
        <v>2</v>
      </c>
      <c r="Q126" s="8">
        <v>-0.21756</v>
      </c>
      <c r="R126" s="8">
        <v>-0.346233</v>
      </c>
      <c r="S126">
        <v>5</v>
      </c>
      <c r="U126" s="8">
        <v>6</v>
      </c>
      <c r="V126" s="8">
        <v>-0.0657</v>
      </c>
      <c r="W126" s="8">
        <v>-0.036003</v>
      </c>
    </row>
    <row r="127" spans="2:23">
      <c r="B127" s="8">
        <v>0.03842</v>
      </c>
      <c r="C127" s="8">
        <v>-0.371945</v>
      </c>
      <c r="D127" s="9">
        <v>3</v>
      </c>
      <c r="M127" s="8">
        <v>0.88065</v>
      </c>
      <c r="N127" s="8">
        <v>0.979964</v>
      </c>
      <c r="O127">
        <v>2</v>
      </c>
      <c r="Q127" s="8">
        <v>0.00049</v>
      </c>
      <c r="R127" s="8">
        <v>-0.203316</v>
      </c>
      <c r="S127">
        <v>5</v>
      </c>
      <c r="U127" s="8">
        <v>6</v>
      </c>
      <c r="V127" s="8">
        <v>0.31282</v>
      </c>
      <c r="W127" s="8">
        <v>-0.34233</v>
      </c>
    </row>
    <row r="128" spans="2:23">
      <c r="B128" s="8">
        <v>-0.13235</v>
      </c>
      <c r="C128" s="8">
        <v>-0.384385</v>
      </c>
      <c r="D128" s="9">
        <v>3</v>
      </c>
      <c r="M128" s="8">
        <v>0.07437</v>
      </c>
      <c r="N128" s="8">
        <v>1.254434</v>
      </c>
      <c r="O128">
        <v>2</v>
      </c>
      <c r="Q128" s="8">
        <v>-0.0956</v>
      </c>
      <c r="R128" s="8">
        <v>-0.21541</v>
      </c>
      <c r="S128">
        <v>5</v>
      </c>
      <c r="U128" s="8">
        <v>6</v>
      </c>
      <c r="V128" s="8">
        <v>0.38147</v>
      </c>
      <c r="W128" s="8">
        <v>-0.053682</v>
      </c>
    </row>
    <row r="129" spans="2:23">
      <c r="B129" s="8">
        <v>-0.08206</v>
      </c>
      <c r="C129" s="8">
        <v>-0.054138</v>
      </c>
      <c r="D129" s="9">
        <v>3</v>
      </c>
      <c r="M129" s="8">
        <v>0.16071</v>
      </c>
      <c r="N129" s="8">
        <v>1.327507</v>
      </c>
      <c r="O129">
        <v>2</v>
      </c>
      <c r="Q129" s="8">
        <v>-0.20281</v>
      </c>
      <c r="R129" s="8">
        <v>-0.470196</v>
      </c>
      <c r="S129">
        <v>5</v>
      </c>
      <c r="U129" s="8">
        <v>6</v>
      </c>
      <c r="V129" s="8">
        <v>-0.22172</v>
      </c>
      <c r="W129" s="8">
        <v>0.006699</v>
      </c>
    </row>
    <row r="130" spans="2:23">
      <c r="B130" s="8">
        <v>-0.28957</v>
      </c>
      <c r="C130" s="8">
        <v>-0.28207</v>
      </c>
      <c r="D130" s="9">
        <v>3</v>
      </c>
      <c r="M130" s="8">
        <v>0.72626</v>
      </c>
      <c r="N130" s="8">
        <v>-0.249903</v>
      </c>
      <c r="O130">
        <v>2</v>
      </c>
      <c r="Q130" s="8">
        <v>-0.22096</v>
      </c>
      <c r="R130" s="8">
        <v>-0.560144</v>
      </c>
      <c r="S130">
        <v>5</v>
      </c>
      <c r="U130" s="8">
        <v>6</v>
      </c>
      <c r="V130" s="8">
        <v>0.00769</v>
      </c>
      <c r="W130" s="8">
        <v>-0.621859</v>
      </c>
    </row>
    <row r="131" spans="2:23">
      <c r="B131" s="8">
        <v>0.08138</v>
      </c>
      <c r="C131" s="8">
        <v>-0.148364</v>
      </c>
      <c r="D131" s="9">
        <v>3</v>
      </c>
      <c r="M131" s="8">
        <v>-1.33841</v>
      </c>
      <c r="N131" s="8">
        <v>-0.864968</v>
      </c>
      <c r="O131">
        <v>3</v>
      </c>
      <c r="Q131" s="8">
        <v>0.01618</v>
      </c>
      <c r="R131" s="8">
        <v>0.235878</v>
      </c>
      <c r="S131">
        <v>5</v>
      </c>
      <c r="U131" s="8">
        <v>6</v>
      </c>
      <c r="V131" s="8">
        <v>0.03842</v>
      </c>
      <c r="W131" s="8">
        <v>-0.371945</v>
      </c>
    </row>
    <row r="132" spans="2:23">
      <c r="B132" s="8">
        <v>-0.22788</v>
      </c>
      <c r="C132" s="8">
        <v>-0.389662</v>
      </c>
      <c r="D132" s="9">
        <v>3</v>
      </c>
      <c r="M132" s="8">
        <v>-1.55584</v>
      </c>
      <c r="N132" s="8">
        <v>-0.26616</v>
      </c>
      <c r="O132">
        <v>3</v>
      </c>
      <c r="Q132" s="8">
        <v>-0.47369</v>
      </c>
      <c r="R132" s="8">
        <v>0.048068</v>
      </c>
      <c r="S132">
        <v>5</v>
      </c>
      <c r="U132" s="8">
        <v>6</v>
      </c>
      <c r="V132" s="8">
        <v>0.2823</v>
      </c>
      <c r="W132" s="8">
        <v>-0.289623</v>
      </c>
    </row>
    <row r="133" spans="2:23">
      <c r="B133" s="8">
        <v>-0.09755</v>
      </c>
      <c r="C133" s="8">
        <v>-0.105275</v>
      </c>
      <c r="D133" s="9">
        <v>3</v>
      </c>
      <c r="M133" s="8">
        <v>-2.00542</v>
      </c>
      <c r="N133" s="8">
        <v>-0.668617</v>
      </c>
      <c r="O133">
        <v>3</v>
      </c>
      <c r="Q133" s="8">
        <v>0.07074</v>
      </c>
      <c r="R133" s="8">
        <v>-0.253199</v>
      </c>
      <c r="S133">
        <v>5</v>
      </c>
      <c r="U133" s="8">
        <v>6</v>
      </c>
      <c r="V133" s="8">
        <v>0.28205</v>
      </c>
      <c r="W133" s="8">
        <v>-0.217957</v>
      </c>
    </row>
    <row r="134" spans="2:23">
      <c r="B134" s="8">
        <v>-0.21756</v>
      </c>
      <c r="C134" s="8">
        <v>-0.346233</v>
      </c>
      <c r="D134" s="9">
        <v>3</v>
      </c>
      <c r="M134" s="8">
        <v>-4.14634</v>
      </c>
      <c r="N134" s="8">
        <v>0.446484</v>
      </c>
      <c r="O134">
        <v>3</v>
      </c>
      <c r="Q134" s="8">
        <v>-0.0657</v>
      </c>
      <c r="R134" s="8">
        <v>-0.036003</v>
      </c>
      <c r="S134">
        <v>5</v>
      </c>
      <c r="U134" s="8">
        <v>6</v>
      </c>
      <c r="V134" s="8">
        <v>0.13868</v>
      </c>
      <c r="W134" s="8">
        <v>-0.134001</v>
      </c>
    </row>
    <row r="135" spans="2:23">
      <c r="B135" s="8">
        <v>-0.13631</v>
      </c>
      <c r="C135" s="8">
        <v>-0.783412</v>
      </c>
      <c r="D135" s="9">
        <v>3</v>
      </c>
      <c r="M135" s="8">
        <v>-1.35277</v>
      </c>
      <c r="N135" s="8">
        <v>-0.153724</v>
      </c>
      <c r="O135">
        <v>3</v>
      </c>
      <c r="Q135" s="8">
        <v>0.28205</v>
      </c>
      <c r="R135" s="8">
        <v>-0.217957</v>
      </c>
      <c r="S135">
        <v>5</v>
      </c>
      <c r="U135" s="8">
        <v>6</v>
      </c>
      <c r="V135" s="8">
        <v>0.48777</v>
      </c>
      <c r="W135" s="8">
        <v>-0.490705</v>
      </c>
    </row>
    <row r="136" spans="2:23">
      <c r="B136" s="8">
        <v>-0.03922</v>
      </c>
      <c r="C136" s="8">
        <v>-0.380046</v>
      </c>
      <c r="D136" s="9">
        <v>3</v>
      </c>
      <c r="M136" s="8">
        <v>-1.45602</v>
      </c>
      <c r="N136" s="8">
        <v>-0.13223</v>
      </c>
      <c r="O136">
        <v>3</v>
      </c>
      <c r="Q136" s="8">
        <v>0.88065</v>
      </c>
      <c r="R136" s="8">
        <v>0.979964</v>
      </c>
      <c r="S136">
        <v>5</v>
      </c>
      <c r="U136" s="8">
        <v>6</v>
      </c>
      <c r="V136" s="8">
        <v>0.31329</v>
      </c>
      <c r="W136" s="8">
        <v>-0.492457</v>
      </c>
    </row>
    <row r="137" spans="2:23">
      <c r="B137" s="8">
        <v>0.00049</v>
      </c>
      <c r="C137" s="8">
        <v>-0.203316</v>
      </c>
      <c r="D137" s="9">
        <v>3</v>
      </c>
      <c r="M137" s="8">
        <v>-2.3431</v>
      </c>
      <c r="N137" s="8">
        <v>-0.161402</v>
      </c>
      <c r="O137">
        <v>3</v>
      </c>
      <c r="Q137" s="8">
        <v>0.16071</v>
      </c>
      <c r="R137" s="8">
        <v>1.327507</v>
      </c>
      <c r="S137">
        <v>5</v>
      </c>
      <c r="U137" s="8">
        <v>6</v>
      </c>
      <c r="V137" s="8">
        <v>-0.08206</v>
      </c>
      <c r="W137" s="8">
        <v>-0.054138</v>
      </c>
    </row>
    <row r="138" spans="2:23">
      <c r="B138" s="8">
        <v>-0.15641</v>
      </c>
      <c r="C138" s="8">
        <v>-0.287295</v>
      </c>
      <c r="D138" s="9">
        <v>3</v>
      </c>
      <c r="M138" s="8">
        <v>1.33685</v>
      </c>
      <c r="N138" s="8">
        <v>-0.48409</v>
      </c>
      <c r="O138">
        <v>4</v>
      </c>
      <c r="Q138" s="8">
        <v>-1.33841</v>
      </c>
      <c r="R138" s="8">
        <v>-0.864968</v>
      </c>
      <c r="S138">
        <v>5</v>
      </c>
      <c r="U138" s="8">
        <v>6</v>
      </c>
      <c r="V138" s="8">
        <v>0.08138</v>
      </c>
      <c r="W138" s="8">
        <v>-0.148364</v>
      </c>
    </row>
    <row r="139" spans="2:23">
      <c r="B139" s="8">
        <v>-0.0956</v>
      </c>
      <c r="C139" s="8">
        <v>-0.21541</v>
      </c>
      <c r="D139" s="9">
        <v>3</v>
      </c>
      <c r="M139" s="8">
        <v>0.18992</v>
      </c>
      <c r="N139" s="8">
        <v>-0.253995</v>
      </c>
      <c r="O139">
        <v>4</v>
      </c>
      <c r="Q139" s="8">
        <v>-1.35277</v>
      </c>
      <c r="R139" s="8">
        <v>-0.153724</v>
      </c>
      <c r="S139">
        <v>5</v>
      </c>
      <c r="U139" s="8">
        <v>6</v>
      </c>
      <c r="V139" s="8">
        <v>0.32624</v>
      </c>
      <c r="W139" s="8">
        <v>-0.461201</v>
      </c>
    </row>
    <row r="140" spans="2:23">
      <c r="B140" s="8">
        <v>-0.20281</v>
      </c>
      <c r="C140" s="8">
        <v>-0.470196</v>
      </c>
      <c r="D140" s="9">
        <v>3</v>
      </c>
      <c r="M140" s="8">
        <v>0.26632</v>
      </c>
      <c r="N140" s="8">
        <v>-0.61545</v>
      </c>
      <c r="O140">
        <v>4</v>
      </c>
      <c r="Q140" s="8">
        <v>0.14959</v>
      </c>
      <c r="R140" s="8">
        <v>-0.146907</v>
      </c>
      <c r="S140">
        <v>5</v>
      </c>
      <c r="U140" s="8">
        <v>6</v>
      </c>
      <c r="V140" s="8">
        <v>-0.09755</v>
      </c>
      <c r="W140" s="8">
        <v>-0.105275</v>
      </c>
    </row>
    <row r="141" spans="2:23">
      <c r="B141" s="8">
        <v>-0.22096</v>
      </c>
      <c r="C141" s="8">
        <v>-0.560144</v>
      </c>
      <c r="D141" s="9">
        <v>3</v>
      </c>
      <c r="M141" s="8">
        <v>0.14959</v>
      </c>
      <c r="N141" s="8">
        <v>-0.146907</v>
      </c>
      <c r="O141">
        <v>4</v>
      </c>
      <c r="Q141" s="8">
        <v>-0.28957</v>
      </c>
      <c r="R141" s="8">
        <v>-0.28207</v>
      </c>
      <c r="S141">
        <v>5</v>
      </c>
      <c r="U141" s="8">
        <v>6</v>
      </c>
      <c r="V141" s="8">
        <v>-0.13631</v>
      </c>
      <c r="W141" s="8">
        <v>-0.783412</v>
      </c>
    </row>
    <row r="142" spans="2:23">
      <c r="B142" s="8">
        <v>-0.27389</v>
      </c>
      <c r="C142" s="8">
        <v>-0.33243</v>
      </c>
      <c r="D142" s="9">
        <v>3</v>
      </c>
      <c r="M142" s="8">
        <v>0.31282</v>
      </c>
      <c r="N142" s="8">
        <v>-0.34233</v>
      </c>
      <c r="O142">
        <v>4</v>
      </c>
      <c r="Q142" s="8">
        <v>-0.09755</v>
      </c>
      <c r="R142" s="8">
        <v>-0.105275</v>
      </c>
      <c r="S142">
        <v>5</v>
      </c>
      <c r="U142" s="8">
        <v>6</v>
      </c>
      <c r="V142" s="8">
        <v>-0.03922</v>
      </c>
      <c r="W142" s="8">
        <v>-0.380046</v>
      </c>
    </row>
    <row r="143" spans="2:23">
      <c r="B143" s="8">
        <v>0.01618</v>
      </c>
      <c r="C143" s="8">
        <v>0.235878</v>
      </c>
      <c r="D143" s="9">
        <v>3</v>
      </c>
      <c r="M143" s="8">
        <v>-0.22172</v>
      </c>
      <c r="N143" s="8">
        <v>0.006699</v>
      </c>
      <c r="O143">
        <v>4</v>
      </c>
      <c r="Q143" s="8">
        <v>-0.63617</v>
      </c>
      <c r="R143" s="8">
        <v>0.021934</v>
      </c>
      <c r="S143">
        <v>5</v>
      </c>
      <c r="U143" s="8">
        <v>6</v>
      </c>
      <c r="V143" s="8">
        <v>0.00049</v>
      </c>
      <c r="W143" s="8">
        <v>-0.203316</v>
      </c>
    </row>
    <row r="144" spans="2:23">
      <c r="B144" s="8">
        <v>-0.03809</v>
      </c>
      <c r="C144" s="8">
        <v>-0.260563</v>
      </c>
      <c r="D144" s="9">
        <v>3</v>
      </c>
      <c r="M144" s="8">
        <v>0.03842</v>
      </c>
      <c r="N144" s="8">
        <v>-0.371945</v>
      </c>
      <c r="O144">
        <v>4</v>
      </c>
      <c r="Q144" s="8">
        <v>-0.27389</v>
      </c>
      <c r="R144" s="8">
        <v>-0.33243</v>
      </c>
      <c r="S144">
        <v>5</v>
      </c>
      <c r="U144" s="8">
        <v>6</v>
      </c>
      <c r="V144" s="8">
        <v>0.19858</v>
      </c>
      <c r="W144" s="8">
        <v>-0.634975</v>
      </c>
    </row>
    <row r="145" spans="2:23">
      <c r="B145" s="8">
        <v>-0.35102</v>
      </c>
      <c r="C145" s="8">
        <v>-0.357106</v>
      </c>
      <c r="D145" s="9">
        <v>3</v>
      </c>
      <c r="M145" s="8">
        <v>0.13868</v>
      </c>
      <c r="N145" s="8">
        <v>-0.134001</v>
      </c>
      <c r="O145">
        <v>4</v>
      </c>
      <c r="Q145" s="8">
        <v>0.53003</v>
      </c>
      <c r="R145" s="8">
        <v>-0.108848</v>
      </c>
      <c r="S145">
        <v>5</v>
      </c>
      <c r="U145" s="8">
        <v>6</v>
      </c>
      <c r="V145" s="8">
        <v>-0.0956</v>
      </c>
      <c r="W145" s="8">
        <v>-0.21541</v>
      </c>
    </row>
    <row r="146" spans="2:23">
      <c r="B146" s="8">
        <v>0.05583</v>
      </c>
      <c r="C146" s="8">
        <v>-0.246175</v>
      </c>
      <c r="D146" s="9">
        <v>3</v>
      </c>
      <c r="M146" s="8">
        <v>-0.13235</v>
      </c>
      <c r="N146" s="8">
        <v>-0.384385</v>
      </c>
      <c r="O146">
        <v>4</v>
      </c>
      <c r="Q146" s="8">
        <v>0.69666</v>
      </c>
      <c r="R146" s="8">
        <v>4.260723</v>
      </c>
      <c r="S146">
        <v>5</v>
      </c>
      <c r="U146" s="8">
        <v>6</v>
      </c>
      <c r="V146" s="8">
        <v>0.13232</v>
      </c>
      <c r="W146" s="8">
        <v>-0.3302</v>
      </c>
    </row>
    <row r="147" spans="2:23">
      <c r="B147" s="8">
        <v>-1.33841</v>
      </c>
      <c r="C147" s="8">
        <v>-0.864968</v>
      </c>
      <c r="D147" s="9">
        <v>4</v>
      </c>
      <c r="M147" s="8">
        <v>-0.28957</v>
      </c>
      <c r="N147" s="8">
        <v>-0.28207</v>
      </c>
      <c r="O147">
        <v>4</v>
      </c>
      <c r="Q147" s="8">
        <v>1.1889</v>
      </c>
      <c r="R147" s="8">
        <v>1.88728</v>
      </c>
      <c r="S147">
        <v>5</v>
      </c>
      <c r="U147" s="8">
        <v>6</v>
      </c>
      <c r="V147" s="8">
        <v>0.28007</v>
      </c>
      <c r="W147" s="8">
        <v>-0.15216</v>
      </c>
    </row>
    <row r="148" spans="2:23">
      <c r="B148" s="8">
        <v>-1.55584</v>
      </c>
      <c r="C148" s="8">
        <v>-0.26616</v>
      </c>
      <c r="D148" s="9">
        <v>4</v>
      </c>
      <c r="M148" s="8">
        <v>-0.09755</v>
      </c>
      <c r="N148" s="8">
        <v>-0.105275</v>
      </c>
      <c r="O148">
        <v>4</v>
      </c>
      <c r="Q148" s="8">
        <v>1.08157</v>
      </c>
      <c r="R148" s="8">
        <v>1.009081</v>
      </c>
      <c r="S148">
        <v>5</v>
      </c>
      <c r="U148" s="8">
        <v>6</v>
      </c>
      <c r="V148" s="8">
        <v>0.01618</v>
      </c>
      <c r="W148" s="8">
        <v>0.235878</v>
      </c>
    </row>
    <row r="149" spans="2:23">
      <c r="B149" s="8">
        <v>-2.00542</v>
      </c>
      <c r="C149" s="8">
        <v>-0.668617</v>
      </c>
      <c r="D149" s="9">
        <v>4</v>
      </c>
      <c r="M149" s="8">
        <v>-0.79915</v>
      </c>
      <c r="N149" s="8">
        <v>-0.131269</v>
      </c>
      <c r="O149">
        <v>4</v>
      </c>
      <c r="Q149" s="8">
        <v>1.87772</v>
      </c>
      <c r="R149" s="8">
        <v>0.53997</v>
      </c>
      <c r="S149">
        <v>5</v>
      </c>
      <c r="U149" s="8">
        <v>6</v>
      </c>
      <c r="V149" s="8">
        <v>-0.03809</v>
      </c>
      <c r="W149" s="8">
        <v>-0.260563</v>
      </c>
    </row>
    <row r="150" spans="2:23">
      <c r="B150" s="8">
        <v>-1.35277</v>
      </c>
      <c r="C150" s="8">
        <v>-0.153724</v>
      </c>
      <c r="D150" s="9">
        <v>4</v>
      </c>
      <c r="M150" s="8">
        <v>-0.93477</v>
      </c>
      <c r="N150" s="8">
        <v>-0.129907</v>
      </c>
      <c r="O150">
        <v>4</v>
      </c>
      <c r="Q150" s="8">
        <v>1.12926</v>
      </c>
      <c r="R150" s="8">
        <v>1.690975</v>
      </c>
      <c r="S150">
        <v>5</v>
      </c>
      <c r="U150" s="8">
        <v>6</v>
      </c>
      <c r="V150" s="8">
        <v>0.53003</v>
      </c>
      <c r="W150" s="8">
        <v>-0.108848</v>
      </c>
    </row>
    <row r="151" spans="2:23">
      <c r="B151" s="8">
        <v>-1.45602</v>
      </c>
      <c r="C151" s="8">
        <v>-0.13223</v>
      </c>
      <c r="D151" s="9">
        <v>4</v>
      </c>
      <c r="M151" s="8">
        <v>-0.63617</v>
      </c>
      <c r="N151" s="8">
        <v>0.021934</v>
      </c>
      <c r="O151">
        <v>4</v>
      </c>
      <c r="Q151" s="8">
        <v>-0.18262</v>
      </c>
      <c r="R151" s="8">
        <v>-0.401754</v>
      </c>
      <c r="S151">
        <v>6</v>
      </c>
      <c r="U151" s="8">
        <v>6</v>
      </c>
      <c r="V151" s="8">
        <v>0.05583</v>
      </c>
      <c r="W151" s="8">
        <v>-0.246175</v>
      </c>
    </row>
    <row r="152" spans="2:23">
      <c r="B152" s="8">
        <v>-2.3431</v>
      </c>
      <c r="C152" s="8">
        <v>-0.161402</v>
      </c>
      <c r="D152" s="9">
        <v>4</v>
      </c>
      <c r="M152" s="8">
        <v>0.13232</v>
      </c>
      <c r="N152" s="8">
        <v>-0.3302</v>
      </c>
      <c r="O152">
        <v>4</v>
      </c>
      <c r="Q152" s="8">
        <v>-0.23082</v>
      </c>
      <c r="R152" s="8">
        <v>-0.390381</v>
      </c>
      <c r="S152">
        <v>6</v>
      </c>
      <c r="U152" s="8">
        <v>6</v>
      </c>
      <c r="V152" s="8">
        <v>0.23052</v>
      </c>
      <c r="W152" s="8">
        <v>-0.129518</v>
      </c>
    </row>
    <row r="153" spans="2:23">
      <c r="B153" s="8">
        <v>1.33685</v>
      </c>
      <c r="C153" s="8">
        <v>-0.48409</v>
      </c>
      <c r="D153" s="9">
        <v>5</v>
      </c>
      <c r="M153" s="8">
        <v>-0.27389</v>
      </c>
      <c r="N153" s="8">
        <v>-0.33243</v>
      </c>
      <c r="O153">
        <v>4</v>
      </c>
      <c r="Q153" s="8">
        <v>-0.03922</v>
      </c>
      <c r="R153" s="8">
        <v>-0.380046</v>
      </c>
      <c r="S153">
        <v>6</v>
      </c>
      <c r="U153" s="8">
        <v>7</v>
      </c>
      <c r="V153" s="8">
        <v>-0.54017</v>
      </c>
      <c r="W153" s="8">
        <v>-0.464645</v>
      </c>
    </row>
    <row r="154" spans="2:23">
      <c r="B154" s="8">
        <v>1.08163</v>
      </c>
      <c r="C154" s="8">
        <v>-0.595066</v>
      </c>
      <c r="D154" s="9">
        <v>5</v>
      </c>
      <c r="M154" s="8">
        <v>0.28007</v>
      </c>
      <c r="N154" s="8">
        <v>-0.15216</v>
      </c>
      <c r="O154">
        <v>4</v>
      </c>
      <c r="Q154" s="8">
        <v>0.19858</v>
      </c>
      <c r="R154" s="8">
        <v>-0.634975</v>
      </c>
      <c r="S154">
        <v>6</v>
      </c>
      <c r="U154" s="8">
        <v>7</v>
      </c>
      <c r="V154" s="8">
        <v>-0.18262</v>
      </c>
      <c r="W154" s="8">
        <v>-0.401754</v>
      </c>
    </row>
    <row r="155" spans="2:23">
      <c r="B155" s="8">
        <v>0.85027</v>
      </c>
      <c r="C155" s="8">
        <v>-0.308452</v>
      </c>
      <c r="D155" s="9">
        <v>5</v>
      </c>
      <c r="M155" s="8">
        <v>0.53003</v>
      </c>
      <c r="N155" s="8">
        <v>-0.108848</v>
      </c>
      <c r="O155">
        <v>4</v>
      </c>
      <c r="Q155" s="8">
        <v>0.21056</v>
      </c>
      <c r="R155" s="8">
        <v>-0.313787</v>
      </c>
      <c r="S155">
        <v>6</v>
      </c>
      <c r="U155" s="8">
        <v>7</v>
      </c>
      <c r="V155" s="8">
        <v>-0.23082</v>
      </c>
      <c r="W155" s="8">
        <v>-0.390381</v>
      </c>
    </row>
    <row r="156" spans="2:23">
      <c r="B156" s="8">
        <v>0.82193</v>
      </c>
      <c r="C156" s="8">
        <v>-0.749761</v>
      </c>
      <c r="D156" s="9">
        <v>5</v>
      </c>
      <c r="M156" s="8">
        <v>-0.70141</v>
      </c>
      <c r="N156" s="8">
        <v>0.013646</v>
      </c>
      <c r="O156">
        <v>4</v>
      </c>
      <c r="Q156" s="8">
        <v>-0.03034</v>
      </c>
      <c r="R156" s="8">
        <v>-0.056678</v>
      </c>
      <c r="S156">
        <v>6</v>
      </c>
      <c r="U156" s="8">
        <v>7</v>
      </c>
      <c r="V156" s="8">
        <v>-0.43796</v>
      </c>
      <c r="W156" s="8">
        <v>-0.123567</v>
      </c>
    </row>
    <row r="157" spans="2:23">
      <c r="B157" s="8">
        <v>0.74531</v>
      </c>
      <c r="C157" s="8">
        <v>-0.989523</v>
      </c>
      <c r="D157" s="9">
        <v>5</v>
      </c>
      <c r="M157" s="8">
        <v>-0.75208</v>
      </c>
      <c r="N157" s="8">
        <v>4.058255</v>
      </c>
      <c r="O157">
        <v>5</v>
      </c>
      <c r="Q157" s="8">
        <v>0.72626</v>
      </c>
      <c r="R157" s="8">
        <v>-0.249903</v>
      </c>
      <c r="S157">
        <v>6</v>
      </c>
      <c r="U157" s="8">
        <v>7</v>
      </c>
      <c r="V157" s="8">
        <v>-0.94598</v>
      </c>
      <c r="W157" s="8">
        <v>0.103381</v>
      </c>
    </row>
    <row r="158" spans="2:23">
      <c r="B158" s="8">
        <v>1.28913</v>
      </c>
      <c r="C158" s="8">
        <v>-0.60835</v>
      </c>
      <c r="D158" s="9">
        <v>5</v>
      </c>
      <c r="M158" s="8">
        <v>0.69666</v>
      </c>
      <c r="N158" s="8">
        <v>4.260723</v>
      </c>
      <c r="O158">
        <v>5</v>
      </c>
      <c r="Q158" s="8">
        <v>0.18992</v>
      </c>
      <c r="R158" s="8">
        <v>-0.253995</v>
      </c>
      <c r="S158">
        <v>6</v>
      </c>
      <c r="U158" s="8">
        <v>7</v>
      </c>
      <c r="V158" s="8">
        <v>-0.13235</v>
      </c>
      <c r="W158" s="8">
        <v>-0.384385</v>
      </c>
    </row>
    <row r="159" spans="2:23">
      <c r="B159" s="8">
        <v>1.77904</v>
      </c>
      <c r="C159" s="8">
        <v>-0.453325</v>
      </c>
      <c r="D159" s="9">
        <v>5</v>
      </c>
      <c r="M159" s="8">
        <v>1.08163</v>
      </c>
      <c r="N159" s="8">
        <v>-0.595066</v>
      </c>
      <c r="O159">
        <v>6</v>
      </c>
      <c r="Q159" s="8">
        <v>0.26632</v>
      </c>
      <c r="R159" s="8">
        <v>-0.61545</v>
      </c>
      <c r="S159">
        <v>6</v>
      </c>
      <c r="U159" s="8">
        <v>7</v>
      </c>
      <c r="V159" s="8">
        <v>-0.28957</v>
      </c>
      <c r="W159" s="8">
        <v>-0.28207</v>
      </c>
    </row>
    <row r="160" spans="2:23">
      <c r="B160" s="8">
        <v>1.87772</v>
      </c>
      <c r="C160" s="8">
        <v>0.53997</v>
      </c>
      <c r="D160" s="9">
        <v>5</v>
      </c>
      <c r="M160" s="8">
        <v>1.98565</v>
      </c>
      <c r="N160" s="8">
        <v>1.390577</v>
      </c>
      <c r="O160">
        <v>6</v>
      </c>
      <c r="Q160" s="8">
        <v>0.03842</v>
      </c>
      <c r="R160" s="8">
        <v>-0.371945</v>
      </c>
      <c r="S160">
        <v>6</v>
      </c>
      <c r="U160" s="8">
        <v>7</v>
      </c>
      <c r="V160" s="8">
        <v>-0.8726</v>
      </c>
      <c r="W160" s="8">
        <v>-0.427925</v>
      </c>
    </row>
    <row r="161" spans="2:23">
      <c r="B161" s="8">
        <v>1.08929</v>
      </c>
      <c r="C161" s="8">
        <v>-0.000556</v>
      </c>
      <c r="D161" s="9">
        <v>5</v>
      </c>
      <c r="M161" s="8">
        <v>1.1889</v>
      </c>
      <c r="N161" s="8">
        <v>1.88728</v>
      </c>
      <c r="O161">
        <v>6</v>
      </c>
      <c r="Q161" s="8">
        <v>0.13232</v>
      </c>
      <c r="R161" s="8">
        <v>-0.3302</v>
      </c>
      <c r="S161">
        <v>6</v>
      </c>
      <c r="U161" s="8">
        <v>7</v>
      </c>
      <c r="V161" s="8">
        <v>-0.22788</v>
      </c>
      <c r="W161" s="8">
        <v>-0.389662</v>
      </c>
    </row>
    <row r="162" spans="2:23">
      <c r="B162" s="8">
        <v>0.51357</v>
      </c>
      <c r="C162" s="8">
        <v>0.972977</v>
      </c>
      <c r="D162" s="9">
        <v>6</v>
      </c>
      <c r="M162" s="8">
        <v>1.08157</v>
      </c>
      <c r="N162" s="8">
        <v>1.009081</v>
      </c>
      <c r="O162">
        <v>6</v>
      </c>
      <c r="Q162" s="8">
        <v>0.28007</v>
      </c>
      <c r="R162" s="8">
        <v>-0.15216</v>
      </c>
      <c r="S162">
        <v>6</v>
      </c>
      <c r="U162" s="8">
        <v>7</v>
      </c>
      <c r="V162" s="8">
        <v>-0.21756</v>
      </c>
      <c r="W162" s="8">
        <v>-0.346233</v>
      </c>
    </row>
    <row r="163" spans="2:23">
      <c r="B163" s="8">
        <v>1.98565</v>
      </c>
      <c r="C163" s="8">
        <v>1.390577</v>
      </c>
      <c r="D163" s="9">
        <v>6</v>
      </c>
      <c r="M163" s="8">
        <v>1.28913</v>
      </c>
      <c r="N163" s="8">
        <v>-0.60835</v>
      </c>
      <c r="O163">
        <v>6</v>
      </c>
      <c r="Q163" s="8">
        <v>1.08929</v>
      </c>
      <c r="R163" s="8">
        <v>-0.000556</v>
      </c>
      <c r="S163">
        <v>6</v>
      </c>
      <c r="U163" s="8">
        <v>7</v>
      </c>
      <c r="V163" s="8">
        <v>-0.79915</v>
      </c>
      <c r="W163" s="8">
        <v>-0.131269</v>
      </c>
    </row>
    <row r="164" spans="2:23">
      <c r="B164" s="8">
        <v>1.1889</v>
      </c>
      <c r="C164" s="8">
        <v>1.88728</v>
      </c>
      <c r="D164" s="9">
        <v>6</v>
      </c>
      <c r="M164" s="8">
        <v>1.77904</v>
      </c>
      <c r="N164" s="8">
        <v>-0.453325</v>
      </c>
      <c r="O164">
        <v>6</v>
      </c>
      <c r="Q164" s="8">
        <v>0.48141</v>
      </c>
      <c r="R164" s="8">
        <v>1.644753</v>
      </c>
      <c r="S164">
        <v>6</v>
      </c>
      <c r="U164" s="8">
        <v>7</v>
      </c>
      <c r="V164" s="8">
        <v>-0.93477</v>
      </c>
      <c r="W164" s="8">
        <v>-0.129907</v>
      </c>
    </row>
    <row r="165" spans="2:23">
      <c r="B165" s="8">
        <v>1.08157</v>
      </c>
      <c r="C165" s="8">
        <v>1.009081</v>
      </c>
      <c r="D165" s="9">
        <v>6</v>
      </c>
      <c r="M165" s="8">
        <v>1.87772</v>
      </c>
      <c r="N165" s="8">
        <v>0.53997</v>
      </c>
      <c r="O165">
        <v>6</v>
      </c>
      <c r="Q165" s="8">
        <v>-0.22788</v>
      </c>
      <c r="R165" s="8">
        <v>-0.389662</v>
      </c>
      <c r="S165">
        <v>6</v>
      </c>
      <c r="U165" s="8">
        <v>7</v>
      </c>
      <c r="V165" s="8">
        <v>-0.63617</v>
      </c>
      <c r="W165" s="8">
        <v>0.021934</v>
      </c>
    </row>
    <row r="166" spans="2:23">
      <c r="B166" s="8">
        <v>-0.75208</v>
      </c>
      <c r="C166" s="8">
        <v>4.058255</v>
      </c>
      <c r="D166" s="9">
        <v>6</v>
      </c>
      <c r="M166" s="8">
        <v>1.08929</v>
      </c>
      <c r="N166" s="8">
        <v>-0.000556</v>
      </c>
      <c r="O166">
        <v>6</v>
      </c>
      <c r="Q166" s="8">
        <v>-0.13631</v>
      </c>
      <c r="R166" s="8">
        <v>-0.783412</v>
      </c>
      <c r="S166">
        <v>7</v>
      </c>
      <c r="U166" s="8">
        <v>7</v>
      </c>
      <c r="V166" s="8">
        <v>-0.15641</v>
      </c>
      <c r="W166" s="8">
        <v>-0.287295</v>
      </c>
    </row>
    <row r="167" spans="2:23">
      <c r="B167" s="8">
        <v>0.88065</v>
      </c>
      <c r="C167" s="8">
        <v>0.979964</v>
      </c>
      <c r="D167" s="9">
        <v>6</v>
      </c>
      <c r="M167" s="8">
        <v>0.48141</v>
      </c>
      <c r="N167" s="8">
        <v>1.644753</v>
      </c>
      <c r="O167">
        <v>6</v>
      </c>
      <c r="Q167" s="8">
        <v>-0.15641</v>
      </c>
      <c r="R167" s="8">
        <v>-0.287295</v>
      </c>
      <c r="S167">
        <v>7</v>
      </c>
      <c r="U167" s="8">
        <v>7</v>
      </c>
      <c r="V167" s="8">
        <v>-0.20281</v>
      </c>
      <c r="W167" s="8">
        <v>-0.470196</v>
      </c>
    </row>
    <row r="168" spans="2:23">
      <c r="B168" s="8">
        <v>0.07437</v>
      </c>
      <c r="C168" s="8">
        <v>1.254434</v>
      </c>
      <c r="D168" s="9">
        <v>6</v>
      </c>
      <c r="M168" s="8">
        <v>1.12926</v>
      </c>
      <c r="N168" s="8">
        <v>1.690975</v>
      </c>
      <c r="O168">
        <v>6</v>
      </c>
      <c r="Q168" s="8">
        <v>-1.55584</v>
      </c>
      <c r="R168" s="8">
        <v>-0.26616</v>
      </c>
      <c r="S168">
        <v>7</v>
      </c>
      <c r="U168" s="8">
        <v>7</v>
      </c>
      <c r="V168" s="8">
        <v>-0.22096</v>
      </c>
      <c r="W168" s="8">
        <v>-0.560144</v>
      </c>
    </row>
    <row r="169" spans="2:23">
      <c r="B169" s="8">
        <v>0.16071</v>
      </c>
      <c r="C169" s="8">
        <v>1.327507</v>
      </c>
      <c r="D169" s="9">
        <v>6</v>
      </c>
      <c r="M169" s="8">
        <v>0.85027</v>
      </c>
      <c r="N169" s="8">
        <v>-0.308452</v>
      </c>
      <c r="O169">
        <v>7</v>
      </c>
      <c r="Q169" s="8">
        <v>-1.45602</v>
      </c>
      <c r="R169" s="8">
        <v>-0.13223</v>
      </c>
      <c r="S169">
        <v>7</v>
      </c>
      <c r="U169" s="8">
        <v>7</v>
      </c>
      <c r="V169" s="8">
        <v>-0.61513</v>
      </c>
      <c r="W169" s="8">
        <v>-0.436982</v>
      </c>
    </row>
    <row r="170" spans="2:23">
      <c r="B170" s="8">
        <v>0.48141</v>
      </c>
      <c r="C170" s="8">
        <v>1.644753</v>
      </c>
      <c r="D170" s="9">
        <v>6</v>
      </c>
      <c r="M170" s="8">
        <v>0.38446</v>
      </c>
      <c r="N170" s="8">
        <v>-0.544774</v>
      </c>
      <c r="O170">
        <v>7</v>
      </c>
      <c r="Q170" s="8">
        <v>-2.3431</v>
      </c>
      <c r="R170" s="8">
        <v>-0.161402</v>
      </c>
      <c r="S170">
        <v>7</v>
      </c>
      <c r="U170" s="8">
        <v>7</v>
      </c>
      <c r="V170" s="8">
        <v>-0.27389</v>
      </c>
      <c r="W170" s="8">
        <v>-0.33243</v>
      </c>
    </row>
    <row r="171" spans="2:23">
      <c r="B171" s="8">
        <v>0.69666</v>
      </c>
      <c r="C171" s="8">
        <v>4.260723</v>
      </c>
      <c r="D171" s="9">
        <v>6</v>
      </c>
      <c r="M171" s="8">
        <v>0.31329</v>
      </c>
      <c r="N171" s="8">
        <v>-0.492457</v>
      </c>
      <c r="O171">
        <v>7</v>
      </c>
      <c r="Q171" s="8">
        <v>1.33685</v>
      </c>
      <c r="R171" s="8">
        <v>-0.48409</v>
      </c>
      <c r="S171">
        <v>7</v>
      </c>
      <c r="U171" s="8">
        <v>7</v>
      </c>
      <c r="V171" s="8">
        <v>-0.47369</v>
      </c>
      <c r="W171" s="8">
        <v>0.048068</v>
      </c>
    </row>
    <row r="172" spans="2:23">
      <c r="B172" s="8">
        <v>1.12926</v>
      </c>
      <c r="C172" s="8">
        <v>1.690975</v>
      </c>
      <c r="D172" s="9">
        <v>6</v>
      </c>
      <c r="M172" s="8">
        <v>-0.22788</v>
      </c>
      <c r="N172" s="8">
        <v>-0.389662</v>
      </c>
      <c r="O172">
        <v>7</v>
      </c>
      <c r="Q172" s="8">
        <v>0.13868</v>
      </c>
      <c r="R172" s="8">
        <v>-0.134001</v>
      </c>
      <c r="S172">
        <v>7</v>
      </c>
      <c r="U172" s="8">
        <v>7</v>
      </c>
      <c r="V172" s="8">
        <v>-0.35102</v>
      </c>
      <c r="W172" s="8">
        <v>-0.357106</v>
      </c>
    </row>
    <row r="173" spans="2:23">
      <c r="B173" s="10">
        <v>-4.14634</v>
      </c>
      <c r="C173" s="10">
        <v>0.446484</v>
      </c>
      <c r="D173" s="11">
        <v>7</v>
      </c>
      <c r="M173" s="10">
        <v>0.23052</v>
      </c>
      <c r="N173" s="10">
        <v>-0.129518</v>
      </c>
      <c r="O173">
        <v>7</v>
      </c>
      <c r="Q173" s="10">
        <v>0.85027</v>
      </c>
      <c r="R173" s="10">
        <v>-0.308452</v>
      </c>
      <c r="S173">
        <v>7</v>
      </c>
      <c r="U173" s="10">
        <v>7</v>
      </c>
      <c r="V173" s="10">
        <v>-0.70141</v>
      </c>
      <c r="W173" s="10">
        <v>0.013646</v>
      </c>
    </row>
  </sheetData>
  <pageMargins left="0.75" right="0.75" top="1" bottom="1" header="0.5" footer="0.5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Исходные данные</vt:lpstr>
      <vt:lpstr>Все методы</vt:lpstr>
      <vt:lpstr>Функционал качества</vt:lpstr>
      <vt:lpstr>Графики средних</vt:lpstr>
      <vt:lpstr>География</vt:lpstr>
      <vt:lpstr>Критерий</vt:lpstr>
      <vt:lpstr>Собственные числа</vt:lpstr>
      <vt:lpstr>Визуализация</vt:lpstr>
      <vt:lpstr>График средних</vt:lpstr>
      <vt:lpstr>Визуализация2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nassa</dc:creator>
  <cp:lastModifiedBy>Саша Нашивочников</cp:lastModifiedBy>
  <dcterms:created xsi:type="dcterms:W3CDTF">2024-09-29T10:51:00Z</dcterms:created>
  <dcterms:modified xsi:type="dcterms:W3CDTF">2024-12-26T13:36:29Z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C8E4BFBC25E84FF7B58FCEFBEBDCB69B_11</vt:lpwstr>
  </property>
  <property fmtid="{D5CDD505-2E9C-101B-9397-08002B2CF9AE}" pid="3" name="KSOProductBuildVer">
    <vt:lpwstr>1049-12.2.0.19307</vt:lpwstr>
  </property>
</Properties>
</file>